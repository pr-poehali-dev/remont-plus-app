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Сводка" sheetId="2" state="visible" r:id="rId2"/>
  </sheets>
  <definedNames>
    <definedName name="_xlnm.Print_Titles" localSheetId="0">'Смета'!$6:$6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sz val="10"/>
    </font>
    <font>
      <i val="1"/>
      <sz val="10"/>
    </font>
    <font>
      <b val="1"/>
    </font>
    <font>
      <b val="1"/>
      <sz val="12"/>
    </font>
    <font>
      <b val="1"/>
      <sz val="11"/>
    </font>
    <font/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0" borderId="1" pivotButton="0" quotePrefix="0" xfId="0"/>
    <xf numFmtId="0" fontId="6" fillId="4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0" fontId="4" fillId="0" borderId="1" applyAlignment="1" pivotButton="0" quotePrefix="0" xfId="0">
      <alignment horizontal="right"/>
    </xf>
    <xf numFmtId="4" fontId="4" fillId="0" borderId="1" pivotButton="0" quotePrefix="0" xfId="0"/>
    <xf numFmtId="0" fontId="7" fillId="0" borderId="1" applyAlignment="1" pivotButton="0" quotePrefix="0" xfId="0">
      <alignment horizontal="right"/>
    </xf>
    <xf numFmtId="4" fontId="7" fillId="0" borderId="1" pivotButton="0" quotePrefix="0" xfId="0"/>
    <xf numFmtId="0" fontId="4" fillId="5" borderId="1" applyAlignment="1" pivotButton="0" quotePrefix="0" xfId="0">
      <alignment horizontal="right"/>
    </xf>
    <xf numFmtId="4" fontId="4" fillId="5" borderId="1" pivotButton="0" quotePrefix="0" xfId="0"/>
    <xf numFmtId="0" fontId="4" fillId="6" borderId="1" applyAlignment="1" pivotButton="0" quotePrefix="0" xfId="0">
      <alignment horizontal="right"/>
    </xf>
    <xf numFmtId="4" fontId="4" fillId="6" borderId="1" pivotButton="0" quotePrefix="0" xfId="0"/>
    <xf numFmtId="0" fontId="8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0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62" customWidth="1" min="2" max="2"/>
    <col width="8" customWidth="1" min="3" max="3"/>
    <col width="9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30" customWidth="1" min="10" max="10"/>
  </cols>
  <sheetData>
    <row r="1">
      <c r="A1" s="1" t="inlineStr">
        <is>
          <t>ЛОКАЛЬНЫЙ СМЕТНЫЙ РАСЧЁТ (ТКП)</t>
        </is>
      </c>
    </row>
    <row r="2">
      <c r="A2" s="2" t="inlineStr">
        <is>
          <t>Объект: АО «СМЗ», цех №36, АБК корпуса №32 — ремонт мужской душевой локомотивного депо (2 этаж)</t>
        </is>
      </c>
    </row>
    <row r="3">
      <c r="A3" s="2" t="inlineStr">
        <is>
          <t>Основание: ТЗ-36-26-ПО-2026. Регион: г. Самара. Уровень цен: октябрь 2026 г., текущие рыночные цены</t>
        </is>
      </c>
    </row>
    <row r="4">
      <c r="A4" s="3" t="inlineStr">
        <is>
          <t>Работы — стоимость труда с учётом демонтажа/подготовки; материалы — с запасом на подрезку и отход</t>
        </is>
      </c>
    </row>
    <row r="6" ht="32" customHeight="1">
      <c r="A6" s="4" t="inlineStr">
        <is>
          <t>№ по ТЗ</t>
        </is>
      </c>
      <c r="B6" s="4" t="inlineStr">
        <is>
          <t>Наименование работ</t>
        </is>
      </c>
      <c r="C6" s="4" t="inlineStr">
        <is>
          <t>Ед.</t>
        </is>
      </c>
      <c r="D6" s="4" t="inlineStr">
        <is>
          <t>Кол-во</t>
        </is>
      </c>
      <c r="E6" s="4" t="inlineStr">
        <is>
          <t>Работа, ₽/ед</t>
        </is>
      </c>
      <c r="F6" s="4" t="inlineStr">
        <is>
          <t>Материал, ₽/ед</t>
        </is>
      </c>
      <c r="G6" s="4" t="inlineStr">
        <is>
          <t>Работа, ₽</t>
        </is>
      </c>
      <c r="H6" s="4" t="inlineStr">
        <is>
          <t>Материалы, ₽</t>
        </is>
      </c>
      <c r="I6" s="4" t="inlineStr">
        <is>
          <t>Всего, ₽</t>
        </is>
      </c>
      <c r="J6" s="4" t="inlineStr">
        <is>
          <t>Примечание / материал</t>
        </is>
      </c>
    </row>
    <row r="7">
      <c r="A7" s="5" t="inlineStr">
        <is>
          <t>ПОМЕЩЕНИЕ № 1 (ДУШЕВАЯ), 24 м², h=2,9 м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7" t="inlineStr">
        <is>
          <t>4.1.1. Общестроительные работы — Потолок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8" t="inlineStr">
        <is>
          <t>4.1.1.1</t>
        </is>
      </c>
      <c r="B9" s="9" t="inlineStr">
        <is>
          <t>Очистка поверхности потолка от краски</t>
        </is>
      </c>
      <c r="C9" s="8" t="inlineStr">
        <is>
          <t>м²</t>
        </is>
      </c>
      <c r="D9" s="10" t="n">
        <v>22.2</v>
      </c>
      <c r="E9" s="10" t="n">
        <v>260</v>
      </c>
      <c r="F9" s="10" t="n">
        <v>0</v>
      </c>
      <c r="G9" s="10">
        <f>D9*E9</f>
        <v/>
      </c>
      <c r="H9" s="10">
        <f>D9*F9</f>
        <v/>
      </c>
      <c r="I9" s="10">
        <f>G9+H9</f>
        <v/>
      </c>
      <c r="J9" s="9" t="inlineStr"/>
    </row>
    <row r="10">
      <c r="A10" s="8" t="inlineStr">
        <is>
          <t>4.1.1.2</t>
        </is>
      </c>
      <c r="B10" s="9" t="inlineStr">
        <is>
          <t>Очистка поверхности потолка от грибка, плесени</t>
        </is>
      </c>
      <c r="C10" s="8" t="inlineStr">
        <is>
          <t>м²</t>
        </is>
      </c>
      <c r="D10" s="10" t="n">
        <v>22.2</v>
      </c>
      <c r="E10" s="10" t="n">
        <v>130</v>
      </c>
      <c r="F10" s="10" t="n">
        <v>0</v>
      </c>
      <c r="G10" s="10">
        <f>D10*E10</f>
        <v/>
      </c>
      <c r="H10" s="10">
        <f>D10*F10</f>
        <v/>
      </c>
      <c r="I10" s="10">
        <f>G10+H10</f>
        <v/>
      </c>
      <c r="J10" s="9" t="inlineStr"/>
    </row>
    <row r="11">
      <c r="A11" s="8" t="inlineStr">
        <is>
          <t>4.1.1.3</t>
        </is>
      </c>
      <c r="B11" s="9" t="inlineStr">
        <is>
          <t>Обработка потолка противогрибковым составом (для влажных помещений)</t>
        </is>
      </c>
      <c r="C11" s="8" t="inlineStr">
        <is>
          <t>м²</t>
        </is>
      </c>
      <c r="D11" s="10" t="n">
        <v>22.2</v>
      </c>
      <c r="E11" s="10" t="n">
        <v>95</v>
      </c>
      <c r="F11" s="10" t="n">
        <v>65</v>
      </c>
      <c r="G11" s="10">
        <f>D11*E11</f>
        <v/>
      </c>
      <c r="H11" s="10">
        <f>D11*F11</f>
        <v/>
      </c>
      <c r="I11" s="10">
        <f>G11+H11</f>
        <v/>
      </c>
      <c r="J11" s="9" t="inlineStr">
        <is>
          <t>антисептик</t>
        </is>
      </c>
    </row>
    <row r="12">
      <c r="A12" s="8" t="inlineStr">
        <is>
          <t>4.1.1.4</t>
        </is>
      </c>
      <c r="B12" s="9" t="inlineStr">
        <is>
          <t>Грунтование потолка грунтовкой типа «Бетоноконтакт»</t>
        </is>
      </c>
      <c r="C12" s="8" t="inlineStr">
        <is>
          <t>м²</t>
        </is>
      </c>
      <c r="D12" s="10" t="n">
        <v>22.2</v>
      </c>
      <c r="E12" s="10" t="n">
        <v>95</v>
      </c>
      <c r="F12" s="10" t="n">
        <v>75</v>
      </c>
      <c r="G12" s="10">
        <f>D12*E12</f>
        <v/>
      </c>
      <c r="H12" s="10">
        <f>D12*F12</f>
        <v/>
      </c>
      <c r="I12" s="10">
        <f>G12+H12</f>
        <v/>
      </c>
      <c r="J12" s="9" t="inlineStr">
        <is>
          <t>бетоноконтакт</t>
        </is>
      </c>
    </row>
    <row r="13">
      <c r="A13" s="8" t="inlineStr">
        <is>
          <t>4.1.1.5</t>
        </is>
      </c>
      <c r="B13" s="9" t="inlineStr">
        <is>
          <t>Выравнивание потолка штукатурной смесью по стеклотканевой сетке</t>
        </is>
      </c>
      <c r="C13" s="8" t="inlineStr">
        <is>
          <t>м²</t>
        </is>
      </c>
      <c r="D13" s="10" t="n">
        <v>22.2</v>
      </c>
      <c r="E13" s="10" t="n">
        <v>980</v>
      </c>
      <c r="F13" s="10" t="n">
        <v>390</v>
      </c>
      <c r="G13" s="10">
        <f>D13*E13</f>
        <v/>
      </c>
      <c r="H13" s="10">
        <f>D13*F13</f>
        <v/>
      </c>
      <c r="I13" s="10">
        <f>G13+H13</f>
        <v/>
      </c>
      <c r="J13" s="9" t="inlineStr">
        <is>
          <t>штукатурка влагостойкая, сетка</t>
        </is>
      </c>
    </row>
    <row r="14">
      <c r="A14" s="8" t="inlineStr">
        <is>
          <t>4.1.1.6</t>
        </is>
      </c>
      <c r="B14" s="9" t="inlineStr">
        <is>
          <t>Шпатлевание поверхности потолка</t>
        </is>
      </c>
      <c r="C14" s="8" t="inlineStr">
        <is>
          <t>м²</t>
        </is>
      </c>
      <c r="D14" s="10" t="n">
        <v>22.2</v>
      </c>
      <c r="E14" s="10" t="n">
        <v>460</v>
      </c>
      <c r="F14" s="10" t="n">
        <v>130</v>
      </c>
      <c r="G14" s="10">
        <f>D14*E14</f>
        <v/>
      </c>
      <c r="H14" s="10">
        <f>D14*F14</f>
        <v/>
      </c>
      <c r="I14" s="10">
        <f>G14+H14</f>
        <v/>
      </c>
      <c r="J14" s="9" t="inlineStr">
        <is>
          <t>шпатлёвка влагостойкая</t>
        </is>
      </c>
    </row>
    <row r="15">
      <c r="A15" s="8" t="inlineStr">
        <is>
          <t>4.1.1.7</t>
        </is>
      </c>
      <c r="B15" s="9" t="inlineStr">
        <is>
          <t>Грунтование потолка грунтовкой глубокого проникновения</t>
        </is>
      </c>
      <c r="C15" s="8" t="inlineStr">
        <is>
          <t>м²</t>
        </is>
      </c>
      <c r="D15" s="10" t="n">
        <v>22.2</v>
      </c>
      <c r="E15" s="10" t="n">
        <v>75</v>
      </c>
      <c r="F15" s="10" t="n">
        <v>40</v>
      </c>
      <c r="G15" s="10">
        <f>D15*E15</f>
        <v/>
      </c>
      <c r="H15" s="10">
        <f>D15*F15</f>
        <v/>
      </c>
      <c r="I15" s="10">
        <f>G15+H15</f>
        <v/>
      </c>
      <c r="J15" s="9" t="inlineStr">
        <is>
          <t>грунт</t>
        </is>
      </c>
    </row>
    <row r="16">
      <c r="A16" s="8" t="inlineStr">
        <is>
          <t>4.1.1.8</t>
        </is>
      </c>
      <c r="B16" s="9" t="inlineStr">
        <is>
          <t>Окраска потолка краской для влажных помещений (2 слоя)</t>
        </is>
      </c>
      <c r="C16" s="8" t="inlineStr">
        <is>
          <t>м²</t>
        </is>
      </c>
      <c r="D16" s="10" t="n">
        <v>22.2</v>
      </c>
      <c r="E16" s="10" t="n">
        <v>390</v>
      </c>
      <c r="F16" s="10" t="n">
        <v>230</v>
      </c>
      <c r="G16" s="10">
        <f>D16*E16</f>
        <v/>
      </c>
      <c r="H16" s="10">
        <f>D16*F16</f>
        <v/>
      </c>
      <c r="I16" s="10">
        <f>G16+H16</f>
        <v/>
      </c>
      <c r="J16" s="9" t="inlineStr">
        <is>
          <t>краска для влажных помещений</t>
        </is>
      </c>
    </row>
    <row r="17">
      <c r="A17" s="7" t="inlineStr">
        <is>
          <t>Ригель на потолке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8" t="inlineStr">
        <is>
          <t>4.1.1.9</t>
        </is>
      </c>
      <c r="B18" s="9" t="inlineStr">
        <is>
          <t>Очистка поверхности ригеля от краски</t>
        </is>
      </c>
      <c r="C18" s="8" t="inlineStr">
        <is>
          <t>м²</t>
        </is>
      </c>
      <c r="D18" s="10" t="n">
        <v>6.18</v>
      </c>
      <c r="E18" s="10" t="n">
        <v>310</v>
      </c>
      <c r="F18" s="10" t="n">
        <v>0</v>
      </c>
      <c r="G18" s="10">
        <f>D18*E18</f>
        <v/>
      </c>
      <c r="H18" s="10">
        <f>D18*F18</f>
        <v/>
      </c>
      <c r="I18" s="10">
        <f>G18+H18</f>
        <v/>
      </c>
      <c r="J18" s="9" t="inlineStr">
        <is>
          <t>узкие поверхности, к=1,2</t>
        </is>
      </c>
    </row>
    <row r="19">
      <c r="A19" s="8" t="inlineStr">
        <is>
          <t>4.1.1.10</t>
        </is>
      </c>
      <c r="B19" s="9" t="inlineStr">
        <is>
          <t>Очистка поверхности ригеля от грибка, плесени</t>
        </is>
      </c>
      <c r="C19" s="8" t="inlineStr">
        <is>
          <t>м²</t>
        </is>
      </c>
      <c r="D19" s="10" t="n">
        <v>6.18</v>
      </c>
      <c r="E19" s="10" t="n">
        <v>155</v>
      </c>
      <c r="F19" s="10" t="n">
        <v>0</v>
      </c>
      <c r="G19" s="10">
        <f>D19*E19</f>
        <v/>
      </c>
      <c r="H19" s="10">
        <f>D19*F19</f>
        <v/>
      </c>
      <c r="I19" s="10">
        <f>G19+H19</f>
        <v/>
      </c>
      <c r="J19" s="9" t="inlineStr"/>
    </row>
    <row r="20">
      <c r="A20" s="8" t="inlineStr">
        <is>
          <t>4.1.1.11</t>
        </is>
      </c>
      <c r="B20" s="9" t="inlineStr">
        <is>
          <t>Обработка ригеля противогрибковым составом</t>
        </is>
      </c>
      <c r="C20" s="8" t="inlineStr">
        <is>
          <t>м²</t>
        </is>
      </c>
      <c r="D20" s="10" t="n">
        <v>6.18</v>
      </c>
      <c r="E20" s="10" t="n">
        <v>115</v>
      </c>
      <c r="F20" s="10" t="n">
        <v>65</v>
      </c>
      <c r="G20" s="10">
        <f>D20*E20</f>
        <v/>
      </c>
      <c r="H20" s="10">
        <f>D20*F20</f>
        <v/>
      </c>
      <c r="I20" s="10">
        <f>G20+H20</f>
        <v/>
      </c>
      <c r="J20" s="9" t="inlineStr">
        <is>
          <t>антисептик</t>
        </is>
      </c>
    </row>
    <row r="21">
      <c r="A21" s="8" t="inlineStr">
        <is>
          <t>4.1.1.12</t>
        </is>
      </c>
      <c r="B21" s="9" t="inlineStr">
        <is>
          <t>Грунтование ригеля грунтовкой типа «Бетоноконтакт»</t>
        </is>
      </c>
      <c r="C21" s="8" t="inlineStr">
        <is>
          <t>м²</t>
        </is>
      </c>
      <c r="D21" s="10" t="n">
        <v>6.18</v>
      </c>
      <c r="E21" s="10" t="n">
        <v>115</v>
      </c>
      <c r="F21" s="10" t="n">
        <v>75</v>
      </c>
      <c r="G21" s="10">
        <f>D21*E21</f>
        <v/>
      </c>
      <c r="H21" s="10">
        <f>D21*F21</f>
        <v/>
      </c>
      <c r="I21" s="10">
        <f>G21+H21</f>
        <v/>
      </c>
      <c r="J21" s="9" t="inlineStr"/>
    </row>
    <row r="22">
      <c r="A22" s="8" t="inlineStr">
        <is>
          <t>4.1.1.13</t>
        </is>
      </c>
      <c r="B22" s="9" t="inlineStr">
        <is>
          <t>Выравнивание ригеля штукатурной смесью по стеклотканевой сетке</t>
        </is>
      </c>
      <c r="C22" s="8" t="inlineStr">
        <is>
          <t>м²</t>
        </is>
      </c>
      <c r="D22" s="10" t="n">
        <v>6.18</v>
      </c>
      <c r="E22" s="10" t="n">
        <v>1180</v>
      </c>
      <c r="F22" s="10" t="n">
        <v>390</v>
      </c>
      <c r="G22" s="10">
        <f>D22*E22</f>
        <v/>
      </c>
      <c r="H22" s="10">
        <f>D22*F22</f>
        <v/>
      </c>
      <c r="I22" s="10">
        <f>G22+H22</f>
        <v/>
      </c>
      <c r="J22" s="9" t="inlineStr"/>
    </row>
    <row r="23">
      <c r="A23" s="8" t="inlineStr">
        <is>
          <t>4.1.1.14</t>
        </is>
      </c>
      <c r="B23" s="9" t="inlineStr">
        <is>
          <t>Установка перфорированного уголка</t>
        </is>
      </c>
      <c r="C23" s="8" t="inlineStr">
        <is>
          <t>м.п.</t>
        </is>
      </c>
      <c r="D23" s="10" t="n">
        <v>13</v>
      </c>
      <c r="E23" s="10" t="n">
        <v>190</v>
      </c>
      <c r="F23" s="10" t="n">
        <v>65</v>
      </c>
      <c r="G23" s="10">
        <f>D23*E23</f>
        <v/>
      </c>
      <c r="H23" s="10">
        <f>D23*F23</f>
        <v/>
      </c>
      <c r="I23" s="10">
        <f>G23+H23</f>
        <v/>
      </c>
      <c r="J23" s="9" t="inlineStr">
        <is>
          <t>уголок перфорированный</t>
        </is>
      </c>
    </row>
    <row r="24">
      <c r="A24" s="8" t="inlineStr">
        <is>
          <t>4.1.1.15</t>
        </is>
      </c>
      <c r="B24" s="9" t="inlineStr">
        <is>
          <t>Шпатлевание поверхности ригеля</t>
        </is>
      </c>
      <c r="C24" s="8" t="inlineStr">
        <is>
          <t>м²</t>
        </is>
      </c>
      <c r="D24" s="10" t="n">
        <v>6.18</v>
      </c>
      <c r="E24" s="10" t="n">
        <v>550</v>
      </c>
      <c r="F24" s="10" t="n">
        <v>130</v>
      </c>
      <c r="G24" s="10">
        <f>D24*E24</f>
        <v/>
      </c>
      <c r="H24" s="10">
        <f>D24*F24</f>
        <v/>
      </c>
      <c r="I24" s="10">
        <f>G24+H24</f>
        <v/>
      </c>
      <c r="J24" s="9" t="inlineStr"/>
    </row>
    <row r="25">
      <c r="A25" s="8" t="inlineStr">
        <is>
          <t>4.1.1.16</t>
        </is>
      </c>
      <c r="B25" s="9" t="inlineStr">
        <is>
          <t>Грунтование ригеля грунтовкой глубокого проникновения</t>
        </is>
      </c>
      <c r="C25" s="8" t="inlineStr">
        <is>
          <t>м²</t>
        </is>
      </c>
      <c r="D25" s="10" t="n">
        <v>6.18</v>
      </c>
      <c r="E25" s="10" t="n">
        <v>90</v>
      </c>
      <c r="F25" s="10" t="n">
        <v>40</v>
      </c>
      <c r="G25" s="10">
        <f>D25*E25</f>
        <v/>
      </c>
      <c r="H25" s="10">
        <f>D25*F25</f>
        <v/>
      </c>
      <c r="I25" s="10">
        <f>G25+H25</f>
        <v/>
      </c>
      <c r="J25" s="9" t="inlineStr"/>
    </row>
    <row r="26">
      <c r="A26" s="8" t="inlineStr">
        <is>
          <t>4.1.1.17</t>
        </is>
      </c>
      <c r="B26" s="9" t="inlineStr">
        <is>
          <t>Окраска ригеля краской для влажных помещений</t>
        </is>
      </c>
      <c r="C26" s="8" t="inlineStr">
        <is>
          <t>м²</t>
        </is>
      </c>
      <c r="D26" s="10" t="n">
        <v>6.18</v>
      </c>
      <c r="E26" s="10" t="n">
        <v>470</v>
      </c>
      <c r="F26" s="10" t="n">
        <v>230</v>
      </c>
      <c r="G26" s="10">
        <f>D26*E26</f>
        <v/>
      </c>
      <c r="H26" s="10">
        <f>D26*F26</f>
        <v/>
      </c>
      <c r="I26" s="10">
        <f>G26+H26</f>
        <v/>
      </c>
      <c r="J26" s="9" t="inlineStr"/>
    </row>
    <row r="27">
      <c r="A27" s="8" t="inlineStr">
        <is>
          <t>4.1.1.18</t>
        </is>
      </c>
      <c r="B27" s="9" t="inlineStr">
        <is>
          <t>Заделка отверстия Ø200 мм в перекрытии толщиной 300 мм</t>
        </is>
      </c>
      <c r="C27" s="8" t="inlineStr">
        <is>
          <t>шт.</t>
        </is>
      </c>
      <c r="D27" s="10" t="n">
        <v>1</v>
      </c>
      <c r="E27" s="10" t="n">
        <v>3800</v>
      </c>
      <c r="F27" s="10" t="n">
        <v>950</v>
      </c>
      <c r="G27" s="10">
        <f>D27*E27</f>
        <v/>
      </c>
      <c r="H27" s="10">
        <f>D27*F27</f>
        <v/>
      </c>
      <c r="I27" s="10">
        <f>G27+H27</f>
        <v/>
      </c>
      <c r="J27" s="9" t="inlineStr">
        <is>
          <t>опалубка, раствор, герметик</t>
        </is>
      </c>
    </row>
    <row r="28">
      <c r="A28" s="7" t="inlineStr">
        <is>
          <t>Стены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8" t="inlineStr">
        <is>
          <t>4.1.1.19</t>
        </is>
      </c>
      <c r="B29" s="9" t="inlineStr">
        <is>
          <t>Снятие облицовочной плитки со стен</t>
        </is>
      </c>
      <c r="C29" s="8" t="inlineStr">
        <is>
          <t>м²</t>
        </is>
      </c>
      <c r="D29" s="10" t="n">
        <v>56.55</v>
      </c>
      <c r="E29" s="10" t="n">
        <v>360</v>
      </c>
      <c r="F29" s="10" t="n">
        <v>0</v>
      </c>
      <c r="G29" s="10">
        <f>D29*E29</f>
        <v/>
      </c>
      <c r="H29" s="10">
        <f>D29*F29</f>
        <v/>
      </c>
      <c r="I29" s="10">
        <f>G29+H29</f>
        <v/>
      </c>
      <c r="J29" s="9" t="inlineStr"/>
    </row>
    <row r="30">
      <c r="A30" s="8" t="inlineStr">
        <is>
          <t>4.1.1.20</t>
        </is>
      </c>
      <c r="B30" s="9" t="inlineStr">
        <is>
          <t>Очистка стен от грибка, плесени</t>
        </is>
      </c>
      <c r="C30" s="8" t="inlineStr">
        <is>
          <t>м²</t>
        </is>
      </c>
      <c r="D30" s="10" t="n">
        <v>56.55</v>
      </c>
      <c r="E30" s="10" t="n">
        <v>130</v>
      </c>
      <c r="F30" s="10" t="n">
        <v>0</v>
      </c>
      <c r="G30" s="10">
        <f>D30*E30</f>
        <v/>
      </c>
      <c r="H30" s="10">
        <f>D30*F30</f>
        <v/>
      </c>
      <c r="I30" s="10">
        <f>G30+H30</f>
        <v/>
      </c>
      <c r="J30" s="9" t="inlineStr"/>
    </row>
    <row r="31">
      <c r="A31" s="8" t="inlineStr">
        <is>
          <t>4.1.1.21</t>
        </is>
      </c>
      <c r="B31" s="9" t="inlineStr">
        <is>
          <t>Обработка стен противогрибковым составом</t>
        </is>
      </c>
      <c r="C31" s="8" t="inlineStr">
        <is>
          <t>м²</t>
        </is>
      </c>
      <c r="D31" s="10" t="n">
        <v>56.55</v>
      </c>
      <c r="E31" s="10" t="n">
        <v>95</v>
      </c>
      <c r="F31" s="10" t="n">
        <v>65</v>
      </c>
      <c r="G31" s="10">
        <f>D31*E31</f>
        <v/>
      </c>
      <c r="H31" s="10">
        <f>D31*F31</f>
        <v/>
      </c>
      <c r="I31" s="10">
        <f>G31+H31</f>
        <v/>
      </c>
      <c r="J31" s="9" t="inlineStr"/>
    </row>
    <row r="32">
      <c r="A32" s="8" t="inlineStr">
        <is>
          <t>4.1.1.22</t>
        </is>
      </c>
      <c r="B32" s="9" t="inlineStr">
        <is>
          <t>Отбивка штукатурки со стен</t>
        </is>
      </c>
      <c r="C32" s="8" t="inlineStr">
        <is>
          <t>м²</t>
        </is>
      </c>
      <c r="D32" s="10" t="n">
        <v>56.55</v>
      </c>
      <c r="E32" s="10" t="n">
        <v>420</v>
      </c>
      <c r="F32" s="10" t="n">
        <v>0</v>
      </c>
      <c r="G32" s="10">
        <f>D32*E32</f>
        <v/>
      </c>
      <c r="H32" s="10">
        <f>D32*F32</f>
        <v/>
      </c>
      <c r="I32" s="10">
        <f>G32+H32</f>
        <v/>
      </c>
      <c r="J32" s="9" t="inlineStr"/>
    </row>
    <row r="33">
      <c r="A33" s="8" t="inlineStr">
        <is>
          <t>4.1.1.23</t>
        </is>
      </c>
      <c r="B33" s="9" t="inlineStr">
        <is>
          <t>Грунтовка стен типа «Бетоноконтакт»</t>
        </is>
      </c>
      <c r="C33" s="8" t="inlineStr">
        <is>
          <t>м²</t>
        </is>
      </c>
      <c r="D33" s="10" t="n">
        <v>56.55</v>
      </c>
      <c r="E33" s="10" t="n">
        <v>95</v>
      </c>
      <c r="F33" s="10" t="n">
        <v>75</v>
      </c>
      <c r="G33" s="10">
        <f>D33*E33</f>
        <v/>
      </c>
      <c r="H33" s="10">
        <f>D33*F33</f>
        <v/>
      </c>
      <c r="I33" s="10">
        <f>G33+H33</f>
        <v/>
      </c>
      <c r="J33" s="9" t="inlineStr"/>
    </row>
    <row r="34">
      <c r="A34" s="8" t="inlineStr">
        <is>
          <t>4.1.1.24</t>
        </is>
      </c>
      <c r="B34" s="9" t="inlineStr">
        <is>
          <t>Обмазочная гидроизоляция типа «Пенетрон», 1 слой</t>
        </is>
      </c>
      <c r="C34" s="8" t="inlineStr">
        <is>
          <t>м²</t>
        </is>
      </c>
      <c r="D34" s="10" t="n">
        <v>56.55</v>
      </c>
      <c r="E34" s="10" t="n">
        <v>360</v>
      </c>
      <c r="F34" s="10" t="n">
        <v>380</v>
      </c>
      <c r="G34" s="10">
        <f>D34*E34</f>
        <v/>
      </c>
      <c r="H34" s="10">
        <f>D34*F34</f>
        <v/>
      </c>
      <c r="I34" s="10">
        <f>G34+H34</f>
        <v/>
      </c>
      <c r="J34" s="9" t="inlineStr">
        <is>
          <t>Пенетрон ~1 кг/м²</t>
        </is>
      </c>
    </row>
    <row r="35">
      <c r="A35" s="8" t="inlineStr">
        <is>
          <t>4.1.1.25</t>
        </is>
      </c>
      <c r="B35" s="9" t="inlineStr">
        <is>
          <t>Штукатурка стен смесью на цементной основе</t>
        </is>
      </c>
      <c r="C35" s="8" t="inlineStr">
        <is>
          <t>м²</t>
        </is>
      </c>
      <c r="D35" s="10" t="n">
        <v>56.55</v>
      </c>
      <c r="E35" s="10" t="n">
        <v>780</v>
      </c>
      <c r="F35" s="10" t="n">
        <v>360</v>
      </c>
      <c r="G35" s="10">
        <f>D35*E35</f>
        <v/>
      </c>
      <c r="H35" s="10">
        <f>D35*F35</f>
        <v/>
      </c>
      <c r="I35" s="10">
        <f>G35+H35</f>
        <v/>
      </c>
      <c r="J35" s="9" t="inlineStr">
        <is>
          <t>цементная штукатурка до 20 мм</t>
        </is>
      </c>
    </row>
    <row r="36">
      <c r="A36" s="8" t="inlineStr">
        <is>
          <t>4.1.1.26</t>
        </is>
      </c>
      <c r="B36" s="9" t="inlineStr">
        <is>
          <t>Грунтовка стен грунтовкой глубокого проникновения</t>
        </is>
      </c>
      <c r="C36" s="8" t="inlineStr">
        <is>
          <t>м²</t>
        </is>
      </c>
      <c r="D36" s="10" t="n">
        <v>56.55</v>
      </c>
      <c r="E36" s="10" t="n">
        <v>75</v>
      </c>
      <c r="F36" s="10" t="n">
        <v>40</v>
      </c>
      <c r="G36" s="10">
        <f>D36*E36</f>
        <v/>
      </c>
      <c r="H36" s="10">
        <f>D36*F36</f>
        <v/>
      </c>
      <c r="I36" s="10">
        <f>G36+H36</f>
        <v/>
      </c>
      <c r="J36" s="9" t="inlineStr"/>
    </row>
    <row r="37">
      <c r="A37" s="8" t="inlineStr">
        <is>
          <t>4.1.1.27</t>
        </is>
      </c>
      <c r="B37" s="9" t="inlineStr">
        <is>
          <t>Облицовка стен керамической плиткой 200×300 мм на клей, влагостойкая противогрибковая затирка</t>
        </is>
      </c>
      <c r="C37" s="8" t="inlineStr">
        <is>
          <t>м²</t>
        </is>
      </c>
      <c r="D37" s="10" t="n">
        <v>56.55</v>
      </c>
      <c r="E37" s="10" t="n">
        <v>1850</v>
      </c>
      <c r="F37" s="10" t="n">
        <v>1350</v>
      </c>
      <c r="G37" s="10">
        <f>D37*E37</f>
        <v/>
      </c>
      <c r="H37" s="10">
        <f>D37*F37</f>
        <v/>
      </c>
      <c r="I37" s="10">
        <f>G37+H37</f>
        <v/>
      </c>
      <c r="J37" s="9" t="inlineStr">
        <is>
          <t>плитка +10% запас, клей, затирка</t>
        </is>
      </c>
    </row>
    <row r="38">
      <c r="A38" s="8" t="inlineStr">
        <is>
          <t>4.1.1.28</t>
        </is>
      </c>
      <c r="B38" s="9" t="inlineStr">
        <is>
          <t>Отверстие Ø40 мм в перегородке 180 мм под слив, герметизация</t>
        </is>
      </c>
      <c r="C38" s="8" t="inlineStr">
        <is>
          <t>шт.</t>
        </is>
      </c>
      <c r="D38" s="10" t="n">
        <v>1</v>
      </c>
      <c r="E38" s="10" t="n">
        <v>1600</v>
      </c>
      <c r="F38" s="10" t="n">
        <v>250</v>
      </c>
      <c r="G38" s="10">
        <f>D38*E38</f>
        <v/>
      </c>
      <c r="H38" s="10">
        <f>D38*F38</f>
        <v/>
      </c>
      <c r="I38" s="10">
        <f>G38+H38</f>
        <v/>
      </c>
      <c r="J38" s="9" t="inlineStr">
        <is>
          <t>алмазное сверление, герметик</t>
        </is>
      </c>
    </row>
    <row r="39">
      <c r="A39" s="7" t="inlineStr">
        <is>
          <t>Полы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8" t="inlineStr">
        <is>
          <t>4.1.1.29</t>
        </is>
      </c>
      <c r="B40" s="9" t="inlineStr">
        <is>
          <t>Демонтаж керамической плитки с пола</t>
        </is>
      </c>
      <c r="C40" s="8" t="inlineStr">
        <is>
          <t>м²</t>
        </is>
      </c>
      <c r="D40" s="10" t="n">
        <v>24</v>
      </c>
      <c r="E40" s="10" t="n">
        <v>360</v>
      </c>
      <c r="F40" s="10" t="n">
        <v>0</v>
      </c>
      <c r="G40" s="10">
        <f>D40*E40</f>
        <v/>
      </c>
      <c r="H40" s="10">
        <f>D40*F40</f>
        <v/>
      </c>
      <c r="I40" s="10">
        <f>G40+H40</f>
        <v/>
      </c>
      <c r="J40" s="9" t="inlineStr"/>
    </row>
    <row r="41">
      <c r="A41" s="8" t="inlineStr">
        <is>
          <t>4.1.1.30</t>
        </is>
      </c>
      <c r="B41" s="9" t="inlineStr">
        <is>
          <t>Демонтаж цементно-песчаной стяжки толщ. 70 мм</t>
        </is>
      </c>
      <c r="C41" s="8" t="inlineStr">
        <is>
          <t>м²</t>
        </is>
      </c>
      <c r="D41" s="10" t="n">
        <v>24</v>
      </c>
      <c r="E41" s="10" t="n">
        <v>680</v>
      </c>
      <c r="F41" s="10" t="n">
        <v>0</v>
      </c>
      <c r="G41" s="10">
        <f>D41*E41</f>
        <v/>
      </c>
      <c r="H41" s="10">
        <f>D41*F41</f>
        <v/>
      </c>
      <c r="I41" s="10">
        <f>G41+H41</f>
        <v/>
      </c>
      <c r="J41" s="9" t="inlineStr"/>
    </row>
    <row r="42">
      <c r="A42" s="8" t="inlineStr">
        <is>
          <t>4.1.1.31</t>
        </is>
      </c>
      <c r="B42" s="9" t="inlineStr">
        <is>
          <t>Демонтаж подиума из цементно-песчаного раствора</t>
        </is>
      </c>
      <c r="C42" s="8" t="inlineStr">
        <is>
          <t>шт.</t>
        </is>
      </c>
      <c r="D42" s="10" t="n">
        <v>1</v>
      </c>
      <c r="E42" s="10" t="n">
        <v>3200</v>
      </c>
      <c r="F42" s="10" t="n">
        <v>0</v>
      </c>
      <c r="G42" s="10">
        <f>D42*E42</f>
        <v/>
      </c>
      <c r="H42" s="10">
        <f>D42*F42</f>
        <v/>
      </c>
      <c r="I42" s="10">
        <f>G42+H42</f>
        <v/>
      </c>
      <c r="J42" s="9" t="inlineStr">
        <is>
          <t>размеры уточнить</t>
        </is>
      </c>
    </row>
    <row r="43">
      <c r="A43" s="8" t="inlineStr">
        <is>
          <t>4.1.1.32</t>
        </is>
      </c>
      <c r="B43" s="9" t="inlineStr">
        <is>
          <t>Рулонная оклеечная гидроизоляция в 2 слоя с битумным праймером, заведение на стены 200 мм, примыкание к трапам</t>
        </is>
      </c>
      <c r="C43" s="8" t="inlineStr">
        <is>
          <t>м²</t>
        </is>
      </c>
      <c r="D43" s="10" t="n">
        <v>28</v>
      </c>
      <c r="E43" s="10" t="n">
        <v>560</v>
      </c>
      <c r="F43" s="10" t="n">
        <v>560</v>
      </c>
      <c r="G43" s="10">
        <f>D43*E43</f>
        <v/>
      </c>
      <c r="H43" s="10">
        <f>D43*F43</f>
        <v/>
      </c>
      <c r="I43" s="10">
        <f>G43+H43</f>
        <v/>
      </c>
      <c r="J43" s="9" t="inlineStr">
        <is>
          <t>наплавляемый материал 2 сл., праймер</t>
        </is>
      </c>
    </row>
    <row r="44">
      <c r="A44" s="8" t="inlineStr">
        <is>
          <t>4.1.1.33</t>
        </is>
      </c>
      <c r="B44" s="9" t="inlineStr">
        <is>
          <t>Стяжка ЦПС М150 δ=70 мм с армированием сеткой Ø6 мм ячейка 100×100</t>
        </is>
      </c>
      <c r="C44" s="8" t="inlineStr">
        <is>
          <t>м²</t>
        </is>
      </c>
      <c r="D44" s="10" t="n">
        <v>24</v>
      </c>
      <c r="E44" s="10" t="n">
        <v>920</v>
      </c>
      <c r="F44" s="10" t="n">
        <v>1080</v>
      </c>
      <c r="G44" s="10">
        <f>D44*E44</f>
        <v/>
      </c>
      <c r="H44" s="10">
        <f>D44*F44</f>
        <v/>
      </c>
      <c r="I44" s="10">
        <f>G44+H44</f>
        <v/>
      </c>
      <c r="J44" s="9" t="inlineStr">
        <is>
          <t>ЦПС М150, сетка</t>
        </is>
      </c>
    </row>
    <row r="45">
      <c r="A45" s="8" t="inlineStr">
        <is>
          <t>4.1.1.34</t>
        </is>
      </c>
      <c r="B45" s="9" t="inlineStr">
        <is>
          <t>Покрытие пола из противоскользящего керамогранита 300×300 на клей с уклоном к трапам</t>
        </is>
      </c>
      <c r="C45" s="8" t="inlineStr">
        <is>
          <t>м²</t>
        </is>
      </c>
      <c r="D45" s="10" t="n">
        <v>24</v>
      </c>
      <c r="E45" s="10" t="n">
        <v>2250</v>
      </c>
      <c r="F45" s="10" t="n">
        <v>1550</v>
      </c>
      <c r="G45" s="10">
        <f>D45*E45</f>
        <v/>
      </c>
      <c r="H45" s="10">
        <f>D45*F45</f>
        <v/>
      </c>
      <c r="I45" s="10">
        <f>G45+H45</f>
        <v/>
      </c>
      <c r="J45" s="9" t="inlineStr">
        <is>
          <t>керамогранит R11 +10%, клей, затирка</t>
        </is>
      </c>
    </row>
    <row r="46">
      <c r="A46" s="7" t="inlineStr">
        <is>
          <t>Прочее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8" t="inlineStr">
        <is>
          <t>4.1.1.35</t>
        </is>
      </c>
      <c r="B47" s="9" t="inlineStr">
        <is>
          <t>Углубление в полу (лоток) 100×50 мм с уклоном</t>
        </is>
      </c>
      <c r="C47" s="8" t="inlineStr">
        <is>
          <t>м.п.</t>
        </is>
      </c>
      <c r="D47" s="10" t="n">
        <v>12</v>
      </c>
      <c r="E47" s="10" t="n">
        <v>1250</v>
      </c>
      <c r="F47" s="10" t="n">
        <v>260</v>
      </c>
      <c r="G47" s="10">
        <f>D47*E47</f>
        <v/>
      </c>
      <c r="H47" s="10">
        <f>D47*F47</f>
        <v/>
      </c>
      <c r="I47" s="10">
        <f>G47+H47</f>
        <v/>
      </c>
      <c r="J47" s="9" t="inlineStr"/>
    </row>
    <row r="48">
      <c r="A48" s="8" t="inlineStr">
        <is>
          <t>4.1.1.36</t>
        </is>
      </c>
      <c r="B48" s="9" t="inlineStr">
        <is>
          <t>Облицовка плиткой углубления для стока воды</t>
        </is>
      </c>
      <c r="C48" s="8" t="inlineStr">
        <is>
          <t>м²</t>
        </is>
      </c>
      <c r="D48" s="10" t="n">
        <v>1.8</v>
      </c>
      <c r="E48" s="10" t="n">
        <v>2600</v>
      </c>
      <c r="F48" s="10" t="n">
        <v>1550</v>
      </c>
      <c r="G48" s="10">
        <f>D48*E48</f>
        <v/>
      </c>
      <c r="H48" s="10">
        <f>D48*F48</f>
        <v/>
      </c>
      <c r="I48" s="10">
        <f>G48+H48</f>
        <v/>
      </c>
      <c r="J48" s="9" t="inlineStr">
        <is>
          <t>мелкоформатная укладка</t>
        </is>
      </c>
    </row>
    <row r="49">
      <c r="A49" s="8" t="inlineStr">
        <is>
          <t>4.1.1.37</t>
        </is>
      </c>
      <c r="B49" s="9" t="inlineStr">
        <is>
          <t>Решётка из нержавеющей стали на лоток</t>
        </is>
      </c>
      <c r="C49" s="8" t="inlineStr">
        <is>
          <t>м.п.</t>
        </is>
      </c>
      <c r="D49" s="10" t="n">
        <v>12</v>
      </c>
      <c r="E49" s="10" t="n">
        <v>620</v>
      </c>
      <c r="F49" s="10" t="n">
        <v>3600</v>
      </c>
      <c r="G49" s="10">
        <f>D49*E49</f>
        <v/>
      </c>
      <c r="H49" s="10">
        <f>D49*F49</f>
        <v/>
      </c>
      <c r="I49" s="10">
        <f>G49+H49</f>
        <v/>
      </c>
      <c r="J49" s="9" t="inlineStr">
        <is>
          <t>решётка AISI 304, ширина 100</t>
        </is>
      </c>
    </row>
    <row r="50">
      <c r="A50" s="8" t="inlineStr">
        <is>
          <t>4.1.1.38</t>
        </is>
      </c>
      <c r="B50" s="9" t="inlineStr">
        <is>
          <t>Заделка отверстия в полу после демонтажа трубы ПВХ Ø40</t>
        </is>
      </c>
      <c r="C50" s="8" t="inlineStr">
        <is>
          <t>шт.</t>
        </is>
      </c>
      <c r="D50" s="10" t="n">
        <v>1</v>
      </c>
      <c r="E50" s="10" t="n">
        <v>1500</v>
      </c>
      <c r="F50" s="10" t="n">
        <v>300</v>
      </c>
      <c r="G50" s="10">
        <f>D50*E50</f>
        <v/>
      </c>
      <c r="H50" s="10">
        <f>D50*F50</f>
        <v/>
      </c>
      <c r="I50" s="10">
        <f>G50+H50</f>
        <v/>
      </c>
      <c r="J50" s="9" t="inlineStr"/>
    </row>
    <row r="51">
      <c r="A51" s="7" t="inlineStr">
        <is>
          <t>Двери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8" t="inlineStr">
        <is>
          <t>4.1.1.39</t>
        </is>
      </c>
      <c r="B52" s="9" t="inlineStr">
        <is>
          <t>Разборка дверного блока ПВХ 900×2100</t>
        </is>
      </c>
      <c r="C52" s="8" t="inlineStr">
        <is>
          <t>шт.</t>
        </is>
      </c>
      <c r="D52" s="10" t="n">
        <v>1</v>
      </c>
      <c r="E52" s="10" t="n">
        <v>2600</v>
      </c>
      <c r="F52" s="10" t="n">
        <v>0</v>
      </c>
      <c r="G52" s="10">
        <f>D52*E52</f>
        <v/>
      </c>
      <c r="H52" s="10">
        <f>D52*F52</f>
        <v/>
      </c>
      <c r="I52" s="10">
        <f>G52+H52</f>
        <v/>
      </c>
      <c r="J52" s="9" t="inlineStr"/>
    </row>
    <row r="53">
      <c r="A53" s="8" t="inlineStr">
        <is>
          <t>4.1.1.40</t>
        </is>
      </c>
      <c r="B53" s="9" t="inlineStr">
        <is>
          <t>Монтаж однопольного дверного блока ПВХ 900×2100 с порогом, 3 петли, замок, ручки, доводчик, сэндвич-панели, наличники, ПВХ-откосы, приточная решётка</t>
        </is>
      </c>
      <c r="C53" s="8" t="inlineStr">
        <is>
          <t>шт.</t>
        </is>
      </c>
      <c r="D53" s="10" t="n">
        <v>1</v>
      </c>
      <c r="E53" s="10" t="n">
        <v>9500</v>
      </c>
      <c r="F53" s="10" t="n">
        <v>39000</v>
      </c>
      <c r="G53" s="10">
        <f>D53*E53</f>
        <v/>
      </c>
      <c r="H53" s="10">
        <f>D53*F53</f>
        <v/>
      </c>
      <c r="I53" s="10">
        <f>G53+H53</f>
        <v/>
      </c>
      <c r="J53" s="9" t="inlineStr">
        <is>
          <t>блок ПВХ под заказ, фурнитура, откосы</t>
        </is>
      </c>
    </row>
    <row r="54">
      <c r="A54" s="7" t="inlineStr">
        <is>
          <t>Перегородки в душевой</t>
        </is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8" t="inlineStr">
        <is>
          <t>4.1.1.41</t>
        </is>
      </c>
      <c r="B55" s="9" t="inlineStr">
        <is>
          <t>Демонтаж перегородок из ПВХ-панелей и металлопрофиля 1000×2200</t>
        </is>
      </c>
      <c r="C55" s="8" t="inlineStr">
        <is>
          <t>шт.</t>
        </is>
      </c>
      <c r="D55" s="10" t="n">
        <v>10</v>
      </c>
      <c r="E55" s="10" t="n">
        <v>1250</v>
      </c>
      <c r="F55" s="10" t="n">
        <v>0</v>
      </c>
      <c r="G55" s="10">
        <f>D55*E55</f>
        <v/>
      </c>
      <c r="H55" s="10">
        <f>D55*F55</f>
        <v/>
      </c>
      <c r="I55" s="10">
        <f>G55+H55</f>
        <v/>
      </c>
      <c r="J55" s="9" t="inlineStr"/>
    </row>
    <row r="56">
      <c r="A56" s="8" t="inlineStr">
        <is>
          <t>4.1.1.42</t>
        </is>
      </c>
      <c r="B56" s="9" t="inlineStr">
        <is>
          <t>Монтаж перегородок из ПВХ-профиля 900×1800 (от пола 200 мм)</t>
        </is>
      </c>
      <c r="C56" s="8" t="inlineStr">
        <is>
          <t>шт.</t>
        </is>
      </c>
      <c r="D56" s="10" t="n">
        <v>10</v>
      </c>
      <c r="E56" s="10" t="n">
        <v>4200</v>
      </c>
      <c r="F56" s="10" t="n">
        <v>11500</v>
      </c>
      <c r="G56" s="10">
        <f>D56*E56</f>
        <v/>
      </c>
      <c r="H56" s="10">
        <f>D56*F56</f>
        <v/>
      </c>
      <c r="I56" s="10">
        <f>G56+H56</f>
        <v/>
      </c>
      <c r="J56" s="9" t="inlineStr">
        <is>
          <t>тип/цвет согласовать</t>
        </is>
      </c>
    </row>
    <row r="57">
      <c r="A57" s="8" t="inlineStr">
        <is>
          <t>4.1.1.42а</t>
        </is>
      </c>
      <c r="B57" s="9" t="inlineStr">
        <is>
          <t xml:space="preserve">  в т.ч. подставки для мыла и шампуня, нерж. сталь (с герметизацией отверстий)</t>
        </is>
      </c>
      <c r="C57" s="8" t="inlineStr">
        <is>
          <t>шт.</t>
        </is>
      </c>
      <c r="D57" s="10" t="n">
        <v>8</v>
      </c>
      <c r="E57" s="10" t="n">
        <v>600</v>
      </c>
      <c r="F57" s="10" t="n">
        <v>2300</v>
      </c>
      <c r="G57" s="10">
        <f>D57*E57</f>
        <v/>
      </c>
      <c r="H57" s="10">
        <f>D57*F57</f>
        <v/>
      </c>
      <c r="I57" s="10">
        <f>G57+H57</f>
        <v/>
      </c>
      <c r="J57" s="9" t="inlineStr">
        <is>
          <t>по примечанию к п.4.1.1.42</t>
        </is>
      </c>
    </row>
    <row r="58">
      <c r="A58" s="8" t="inlineStr">
        <is>
          <t>4.1.1.42б</t>
        </is>
      </c>
      <c r="B58" s="9" t="inlineStr">
        <is>
          <t xml:space="preserve">  в т.ч. зеркало</t>
        </is>
      </c>
      <c r="C58" s="8" t="inlineStr">
        <is>
          <t>шт.</t>
        </is>
      </c>
      <c r="D58" s="10" t="n">
        <v>2</v>
      </c>
      <c r="E58" s="10" t="n">
        <v>1500</v>
      </c>
      <c r="F58" s="10" t="n">
        <v>4200</v>
      </c>
      <c r="G58" s="10">
        <f>D58*E58</f>
        <v/>
      </c>
      <c r="H58" s="10">
        <f>D58*F58</f>
        <v/>
      </c>
      <c r="I58" s="10">
        <f>G58+H58</f>
        <v/>
      </c>
      <c r="J58" s="9" t="inlineStr"/>
    </row>
    <row r="59">
      <c r="A59" s="8" t="inlineStr">
        <is>
          <t>4.1.1.42в</t>
        </is>
      </c>
      <c r="B59" s="9" t="inlineStr">
        <is>
          <t xml:space="preserve">  в т.ч. вешалка</t>
        </is>
      </c>
      <c r="C59" s="8" t="inlineStr">
        <is>
          <t>шт.</t>
        </is>
      </c>
      <c r="D59" s="10" t="n">
        <v>2</v>
      </c>
      <c r="E59" s="10" t="n">
        <v>500</v>
      </c>
      <c r="F59" s="10" t="n">
        <v>1300</v>
      </c>
      <c r="G59" s="10">
        <f>D59*E59</f>
        <v/>
      </c>
      <c r="H59" s="10">
        <f>D59*F59</f>
        <v/>
      </c>
      <c r="I59" s="10">
        <f>G59+H59</f>
        <v/>
      </c>
      <c r="J59" s="9" t="inlineStr"/>
    </row>
    <row r="60">
      <c r="A60" s="7" t="inlineStr">
        <is>
          <t>4.1.2. Водоснабжение и канализация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8" t="inlineStr">
        <is>
          <t>4.1.2.1</t>
        </is>
      </c>
      <c r="B61" s="9" t="inlineStr">
        <is>
          <t>Демонтаж смесителей с верхним душем</t>
        </is>
      </c>
      <c r="C61" s="8" t="inlineStr">
        <is>
          <t>шт.</t>
        </is>
      </c>
      <c r="D61" s="10" t="n">
        <v>8</v>
      </c>
      <c r="E61" s="10" t="n">
        <v>850</v>
      </c>
      <c r="F61" s="10" t="n">
        <v>0</v>
      </c>
      <c r="G61" s="10">
        <f>D61*E61</f>
        <v/>
      </c>
      <c r="H61" s="10">
        <f>D61*F61</f>
        <v/>
      </c>
      <c r="I61" s="10">
        <f>G61+H61</f>
        <v/>
      </c>
      <c r="J61" s="9" t="inlineStr"/>
    </row>
    <row r="62">
      <c r="A62" s="8" t="inlineStr">
        <is>
          <t>4.1.2.2</t>
        </is>
      </c>
      <c r="B62" s="9" t="inlineStr">
        <is>
          <t>Монтаж смесителей с верхним душем</t>
        </is>
      </c>
      <c r="C62" s="8" t="inlineStr">
        <is>
          <t>шт.</t>
        </is>
      </c>
      <c r="D62" s="10" t="n">
        <v>8</v>
      </c>
      <c r="E62" s="10" t="n">
        <v>3600</v>
      </c>
      <c r="F62" s="10" t="n">
        <v>9800</v>
      </c>
      <c r="G62" s="10">
        <f>D62*E62</f>
        <v/>
      </c>
      <c r="H62" s="10">
        <f>D62*F62</f>
        <v/>
      </c>
      <c r="I62" s="10">
        <f>G62+H62</f>
        <v/>
      </c>
      <c r="J62" s="9" t="inlineStr">
        <is>
          <t>душевая система с верхним душем</t>
        </is>
      </c>
    </row>
    <row r="63">
      <c r="A63" s="8" t="inlineStr">
        <is>
          <t>4.1.2.3</t>
        </is>
      </c>
      <c r="B63" s="9" t="inlineStr">
        <is>
          <t>Демонтаж металлической трубы Ø32</t>
        </is>
      </c>
      <c r="C63" s="8" t="inlineStr">
        <is>
          <t>м.п.</t>
        </is>
      </c>
      <c r="D63" s="10" t="n">
        <v>2.9</v>
      </c>
      <c r="E63" s="10" t="n">
        <v>520</v>
      </c>
      <c r="F63" s="10" t="n">
        <v>0</v>
      </c>
      <c r="G63" s="10">
        <f>D63*E63</f>
        <v/>
      </c>
      <c r="H63" s="10">
        <f>D63*F63</f>
        <v/>
      </c>
      <c r="I63" s="10">
        <f>G63+H63</f>
        <v/>
      </c>
      <c r="J63" s="9" t="inlineStr"/>
    </row>
    <row r="64">
      <c r="A64" s="8" t="inlineStr">
        <is>
          <t>4.1.2.4</t>
        </is>
      </c>
      <c r="B64" s="9" t="inlineStr">
        <is>
          <t>Демонтаж душевых трапов</t>
        </is>
      </c>
      <c r="C64" s="8" t="inlineStr">
        <is>
          <t>шт.</t>
        </is>
      </c>
      <c r="D64" s="10" t="n">
        <v>2</v>
      </c>
      <c r="E64" s="10" t="n">
        <v>1600</v>
      </c>
      <c r="F64" s="10" t="n">
        <v>0</v>
      </c>
      <c r="G64" s="10">
        <f>D64*E64</f>
        <v/>
      </c>
      <c r="H64" s="10">
        <f>D64*F64</f>
        <v/>
      </c>
      <c r="I64" s="10">
        <f>G64+H64</f>
        <v/>
      </c>
      <c r="J64" s="9" t="inlineStr"/>
    </row>
    <row r="65">
      <c r="A65" s="8" t="inlineStr">
        <is>
          <t>4.1.2.5</t>
        </is>
      </c>
      <c r="B65" s="9" t="inlineStr">
        <is>
          <t>Монтаж душевых трапов</t>
        </is>
      </c>
      <c r="C65" s="8" t="inlineStr">
        <is>
          <t>шт.</t>
        </is>
      </c>
      <c r="D65" s="10" t="n">
        <v>2</v>
      </c>
      <c r="E65" s="10" t="n">
        <v>4600</v>
      </c>
      <c r="F65" s="10" t="n">
        <v>4800</v>
      </c>
      <c r="G65" s="10">
        <f>D65*E65</f>
        <v/>
      </c>
      <c r="H65" s="10">
        <f>D65*F65</f>
        <v/>
      </c>
      <c r="I65" s="10">
        <f>G65+H65</f>
        <v/>
      </c>
      <c r="J65" s="9" t="inlineStr">
        <is>
          <t>трап с гидрозатвором и фланцем</t>
        </is>
      </c>
    </row>
    <row r="66">
      <c r="A66" s="8" t="inlineStr">
        <is>
          <t>4.1.2.6</t>
        </is>
      </c>
      <c r="B66" s="9" t="inlineStr">
        <is>
          <t>Монтаж трубы ПВХ Ø40 с креплением</t>
        </is>
      </c>
      <c r="C66" s="8" t="inlineStr">
        <is>
          <t>м.п.</t>
        </is>
      </c>
      <c r="D66" s="10" t="n">
        <v>1.5</v>
      </c>
      <c r="E66" s="10" t="n">
        <v>620</v>
      </c>
      <c r="F66" s="10" t="n">
        <v>260</v>
      </c>
      <c r="G66" s="10">
        <f>D66*E66</f>
        <v/>
      </c>
      <c r="H66" s="10">
        <f>D66*F66</f>
        <v/>
      </c>
      <c r="I66" s="10">
        <f>G66+H66</f>
        <v/>
      </c>
      <c r="J66" s="9" t="inlineStr"/>
    </row>
    <row r="67">
      <c r="A67" s="8" t="inlineStr">
        <is>
          <t>4.1.2.7</t>
        </is>
      </c>
      <c r="B67" s="9" t="inlineStr">
        <is>
          <t>Монтаж муфты ПВХ Ø40</t>
        </is>
      </c>
      <c r="C67" s="8" t="inlineStr">
        <is>
          <t>шт.</t>
        </is>
      </c>
      <c r="D67" s="10" t="n">
        <v>1</v>
      </c>
      <c r="E67" s="10" t="n">
        <v>420</v>
      </c>
      <c r="F67" s="10" t="n">
        <v>160</v>
      </c>
      <c r="G67" s="10">
        <f>D67*E67</f>
        <v/>
      </c>
      <c r="H67" s="10">
        <f>D67*F67</f>
        <v/>
      </c>
      <c r="I67" s="10">
        <f>G67+H67</f>
        <v/>
      </c>
      <c r="J67" s="9" t="inlineStr"/>
    </row>
    <row r="68">
      <c r="A68" s="8" t="inlineStr">
        <is>
          <t>4.1.2.8</t>
        </is>
      </c>
      <c r="B68" s="9" t="inlineStr">
        <is>
          <t>Демонтаж/монтаж б/у трубы ПП Ø32 с креплением</t>
        </is>
      </c>
      <c r="C68" s="8" t="inlineStr">
        <is>
          <t>м.п.</t>
        </is>
      </c>
      <c r="D68" s="10" t="n">
        <v>8.300000000000001</v>
      </c>
      <c r="E68" s="10" t="n">
        <v>680</v>
      </c>
      <c r="F68" s="10" t="n">
        <v>90</v>
      </c>
      <c r="G68" s="10">
        <f>D68*E68</f>
        <v/>
      </c>
      <c r="H68" s="10">
        <f>D68*F68</f>
        <v/>
      </c>
      <c r="I68" s="10">
        <f>G68+H68</f>
        <v/>
      </c>
      <c r="J68" s="9" t="inlineStr">
        <is>
          <t>крепёж, фитинги на сварку</t>
        </is>
      </c>
    </row>
    <row r="69">
      <c r="A69" s="8" t="inlineStr">
        <is>
          <t>4.1.2.9</t>
        </is>
      </c>
      <c r="B69" s="9" t="inlineStr">
        <is>
          <t>Демонтаж/монтаж б/у трубы ПП Ø25 с креплением</t>
        </is>
      </c>
      <c r="C69" s="8" t="inlineStr">
        <is>
          <t>м.п.</t>
        </is>
      </c>
      <c r="D69" s="10" t="n">
        <v>28</v>
      </c>
      <c r="E69" s="10" t="n">
        <v>580</v>
      </c>
      <c r="F69" s="10" t="n">
        <v>70</v>
      </c>
      <c r="G69" s="10">
        <f>D69*E69</f>
        <v/>
      </c>
      <c r="H69" s="10">
        <f>D69*F69</f>
        <v/>
      </c>
      <c r="I69" s="10">
        <f>G69+H69</f>
        <v/>
      </c>
      <c r="J69" s="9" t="inlineStr"/>
    </row>
    <row r="70">
      <c r="A70" s="8" t="inlineStr">
        <is>
          <t>4.1.2.10</t>
        </is>
      </c>
      <c r="B70" s="9" t="inlineStr">
        <is>
          <t>Демонтаж/монтаж б/у трубы ПП Ø20 с креплением</t>
        </is>
      </c>
      <c r="C70" s="8" t="inlineStr">
        <is>
          <t>м.п.</t>
        </is>
      </c>
      <c r="D70" s="10" t="n">
        <v>30</v>
      </c>
      <c r="E70" s="10" t="n">
        <v>530</v>
      </c>
      <c r="F70" s="10" t="n">
        <v>60</v>
      </c>
      <c r="G70" s="10">
        <f>D70*E70</f>
        <v/>
      </c>
      <c r="H70" s="10">
        <f>D70*F70</f>
        <v/>
      </c>
      <c r="I70" s="10">
        <f>G70+H70</f>
        <v/>
      </c>
      <c r="J70" s="9" t="inlineStr"/>
    </row>
    <row r="71">
      <c r="A71" s="8" t="inlineStr">
        <is>
          <t>4.1.2.11</t>
        </is>
      </c>
      <c r="B71" s="9" t="inlineStr">
        <is>
          <t>Демонтаж/монтаж б/у крана шарового 1"</t>
        </is>
      </c>
      <c r="C71" s="8" t="inlineStr">
        <is>
          <t>шт.</t>
        </is>
      </c>
      <c r="D71" s="10" t="n">
        <v>2</v>
      </c>
      <c r="E71" s="10" t="n">
        <v>1550</v>
      </c>
      <c r="F71" s="10" t="n">
        <v>150</v>
      </c>
      <c r="G71" s="10">
        <f>D71*E71</f>
        <v/>
      </c>
      <c r="H71" s="10">
        <f>D71*F71</f>
        <v/>
      </c>
      <c r="I71" s="10">
        <f>G71+H71</f>
        <v/>
      </c>
      <c r="J71" s="9" t="inlineStr">
        <is>
          <t>ФУМ, уплотнения</t>
        </is>
      </c>
    </row>
    <row r="72">
      <c r="A72" s="8" t="inlineStr">
        <is>
          <t>4.1.2.12</t>
        </is>
      </c>
      <c r="B72" s="9" t="inlineStr">
        <is>
          <t>Демонтаж/монтаж б/у крана ПП Ø25</t>
        </is>
      </c>
      <c r="C72" s="8" t="inlineStr">
        <is>
          <t>шт.</t>
        </is>
      </c>
      <c r="D72" s="10" t="n">
        <v>2</v>
      </c>
      <c r="E72" s="10" t="n">
        <v>1050</v>
      </c>
      <c r="F72" s="10" t="n">
        <v>100</v>
      </c>
      <c r="G72" s="10">
        <f>D72*E72</f>
        <v/>
      </c>
      <c r="H72" s="10">
        <f>D72*F72</f>
        <v/>
      </c>
      <c r="I72" s="10">
        <f>G72+H72</f>
        <v/>
      </c>
      <c r="J72" s="9" t="inlineStr"/>
    </row>
    <row r="73">
      <c r="A73" s="8" t="inlineStr">
        <is>
          <t>4.1.2.13</t>
        </is>
      </c>
      <c r="B73" s="9" t="inlineStr">
        <is>
          <t>Демонтаж/монтаж б/у водорозетки</t>
        </is>
      </c>
      <c r="C73" s="8" t="inlineStr">
        <is>
          <t>шт.</t>
        </is>
      </c>
      <c r="D73" s="10" t="n">
        <v>8</v>
      </c>
      <c r="E73" s="10" t="n">
        <v>950</v>
      </c>
      <c r="F73" s="10" t="n">
        <v>100</v>
      </c>
      <c r="G73" s="10">
        <f>D73*E73</f>
        <v/>
      </c>
      <c r="H73" s="10">
        <f>D73*F73</f>
        <v/>
      </c>
      <c r="I73" s="10">
        <f>G73+H73</f>
        <v/>
      </c>
      <c r="J73" s="9" t="inlineStr"/>
    </row>
    <row r="74">
      <c r="A74" s="8" t="inlineStr">
        <is>
          <t>4.1.2.14</t>
        </is>
      </c>
      <c r="B74" s="9" t="inlineStr">
        <is>
          <t>Демонтаж/монтаж б/у фильтра грубой очистки Ø32</t>
        </is>
      </c>
      <c r="C74" s="8" t="inlineStr">
        <is>
          <t>шт.</t>
        </is>
      </c>
      <c r="D74" s="10" t="n">
        <v>2</v>
      </c>
      <c r="E74" s="10" t="n">
        <v>1550</v>
      </c>
      <c r="F74" s="10" t="n">
        <v>150</v>
      </c>
      <c r="G74" s="10">
        <f>D74*E74</f>
        <v/>
      </c>
      <c r="H74" s="10">
        <f>D74*F74</f>
        <v/>
      </c>
      <c r="I74" s="10">
        <f>G74+H74</f>
        <v/>
      </c>
      <c r="J74" s="9" t="inlineStr"/>
    </row>
    <row r="75">
      <c r="A75" s="8" t="inlineStr">
        <is>
          <t>4.1.2.15</t>
        </is>
      </c>
      <c r="B75" s="9" t="inlineStr">
        <is>
          <t>Демонтаж/монтаж б/у трубы ПВХ Ø50 с креплением</t>
        </is>
      </c>
      <c r="C75" s="8" t="inlineStr">
        <is>
          <t>м.п.</t>
        </is>
      </c>
      <c r="D75" s="10" t="n">
        <v>6</v>
      </c>
      <c r="E75" s="10" t="n">
        <v>620</v>
      </c>
      <c r="F75" s="10" t="n">
        <v>90</v>
      </c>
      <c r="G75" s="10">
        <f>D75*E75</f>
        <v/>
      </c>
      <c r="H75" s="10">
        <f>D75*F75</f>
        <v/>
      </c>
      <c r="I75" s="10">
        <f>G75+H75</f>
        <v/>
      </c>
      <c r="J75" s="9" t="inlineStr"/>
    </row>
    <row r="76">
      <c r="A76" s="8" t="inlineStr">
        <is>
          <t>4.1.2.16</t>
        </is>
      </c>
      <c r="B76" s="9" t="inlineStr">
        <is>
          <t>Демонтаж/монтаж б/у трубы ПВХ Ø100 с креплением</t>
        </is>
      </c>
      <c r="C76" s="8" t="inlineStr">
        <is>
          <t>м.п.</t>
        </is>
      </c>
      <c r="D76" s="10" t="n">
        <v>13</v>
      </c>
      <c r="E76" s="10" t="n">
        <v>820</v>
      </c>
      <c r="F76" s="10" t="n">
        <v>130</v>
      </c>
      <c r="G76" s="10">
        <f>D76*E76</f>
        <v/>
      </c>
      <c r="H76" s="10">
        <f>D76*F76</f>
        <v/>
      </c>
      <c r="I76" s="10">
        <f>G76+H76</f>
        <v/>
      </c>
      <c r="J76" s="9" t="inlineStr"/>
    </row>
    <row r="77">
      <c r="A77" s="8" t="inlineStr">
        <is>
          <t>4.1.2.17</t>
        </is>
      </c>
      <c r="B77" s="9" t="inlineStr">
        <is>
          <t>Демонтаж/монтаж б/у тройника ПВХ 100/50/100</t>
        </is>
      </c>
      <c r="C77" s="8" t="inlineStr">
        <is>
          <t>шт.</t>
        </is>
      </c>
      <c r="D77" s="10" t="n">
        <v>3</v>
      </c>
      <c r="E77" s="10" t="n">
        <v>720</v>
      </c>
      <c r="F77" s="10" t="n">
        <v>100</v>
      </c>
      <c r="G77" s="10">
        <f>D77*E77</f>
        <v/>
      </c>
      <c r="H77" s="10">
        <f>D77*F77</f>
        <v/>
      </c>
      <c r="I77" s="10">
        <f>G77+H77</f>
        <v/>
      </c>
      <c r="J77" s="9" t="inlineStr"/>
    </row>
    <row r="78">
      <c r="A78" s="8" t="inlineStr">
        <is>
          <t>4.1.2.18</t>
        </is>
      </c>
      <c r="B78" s="9" t="inlineStr">
        <is>
          <t>Демонтаж/монтаж б/у тройника ПВХ 100/100/100</t>
        </is>
      </c>
      <c r="C78" s="8" t="inlineStr">
        <is>
          <t>шт.</t>
        </is>
      </c>
      <c r="D78" s="10" t="n">
        <v>2</v>
      </c>
      <c r="E78" s="10" t="n">
        <v>720</v>
      </c>
      <c r="F78" s="10" t="n">
        <v>100</v>
      </c>
      <c r="G78" s="10">
        <f>D78*E78</f>
        <v/>
      </c>
      <c r="H78" s="10">
        <f>D78*F78</f>
        <v/>
      </c>
      <c r="I78" s="10">
        <f>G78+H78</f>
        <v/>
      </c>
      <c r="J78" s="9" t="inlineStr"/>
    </row>
    <row r="79">
      <c r="A79" s="8" t="inlineStr">
        <is>
          <t>4.1.2.19</t>
        </is>
      </c>
      <c r="B79" s="9" t="inlineStr">
        <is>
          <t>Демонтаж/монтаж б/у перехода ПВХ 100/50</t>
        </is>
      </c>
      <c r="C79" s="8" t="inlineStr">
        <is>
          <t>шт.</t>
        </is>
      </c>
      <c r="D79" s="10" t="n">
        <v>2</v>
      </c>
      <c r="E79" s="10" t="n">
        <v>520</v>
      </c>
      <c r="F79" s="10" t="n">
        <v>60</v>
      </c>
      <c r="G79" s="10">
        <f>D79*E79</f>
        <v/>
      </c>
      <c r="H79" s="10">
        <f>D79*F79</f>
        <v/>
      </c>
      <c r="I79" s="10">
        <f>G79+H79</f>
        <v/>
      </c>
      <c r="J79" s="9" t="inlineStr"/>
    </row>
    <row r="80">
      <c r="A80" s="8" t="inlineStr">
        <is>
          <t>4.1.2.20</t>
        </is>
      </c>
      <c r="B80" s="9" t="inlineStr">
        <is>
          <t>Демонтаж/монтаж б/у трубы ПВХ Ø40 с креплением</t>
        </is>
      </c>
      <c r="C80" s="8" t="inlineStr">
        <is>
          <t>м.п.</t>
        </is>
      </c>
      <c r="D80" s="10" t="n">
        <v>1</v>
      </c>
      <c r="E80" s="10" t="n">
        <v>520</v>
      </c>
      <c r="F80" s="10" t="n">
        <v>60</v>
      </c>
      <c r="G80" s="10">
        <f>D80*E80</f>
        <v/>
      </c>
      <c r="H80" s="10">
        <f>D80*F80</f>
        <v/>
      </c>
      <c r="I80" s="10">
        <f>G80+H80</f>
        <v/>
      </c>
      <c r="J80" s="9" t="inlineStr"/>
    </row>
    <row r="81">
      <c r="A81" s="7" t="inlineStr">
        <is>
          <t>4.1.3. Вентиляция</t>
        </is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8" t="inlineStr">
        <is>
          <t>4.1.3.1</t>
        </is>
      </c>
      <c r="B82" s="9" t="inlineStr">
        <is>
          <t>Демонтаж оцинкованной трубы Ø200</t>
        </is>
      </c>
      <c r="C82" s="8" t="inlineStr">
        <is>
          <t>м.п.</t>
        </is>
      </c>
      <c r="D82" s="10" t="n">
        <v>5.5</v>
      </c>
      <c r="E82" s="10" t="n">
        <v>470</v>
      </c>
      <c r="F82" s="10" t="n">
        <v>0</v>
      </c>
      <c r="G82" s="10">
        <f>D82*E82</f>
        <v/>
      </c>
      <c r="H82" s="10">
        <f>D82*F82</f>
        <v/>
      </c>
      <c r="I82" s="10">
        <f>G82+H82</f>
        <v/>
      </c>
      <c r="J82" s="9" t="inlineStr"/>
    </row>
    <row r="83">
      <c r="A83" s="8" t="inlineStr">
        <is>
          <t>4.1.3.2</t>
        </is>
      </c>
      <c r="B83" s="9" t="inlineStr">
        <is>
          <t>Монтаж оцинкованного воздуховода Ø160</t>
        </is>
      </c>
      <c r="C83" s="8" t="inlineStr">
        <is>
          <t>м.п.</t>
        </is>
      </c>
      <c r="D83" s="10" t="n">
        <v>16</v>
      </c>
      <c r="E83" s="10" t="n">
        <v>920</v>
      </c>
      <c r="F83" s="10" t="n">
        <v>980</v>
      </c>
      <c r="G83" s="10">
        <f>D83*E83</f>
        <v/>
      </c>
      <c r="H83" s="10">
        <f>D83*F83</f>
        <v/>
      </c>
      <c r="I83" s="10">
        <f>G83+H83</f>
        <v/>
      </c>
      <c r="J83" s="9" t="inlineStr">
        <is>
          <t>спирально-навивной 0,5 мм</t>
        </is>
      </c>
    </row>
    <row r="84">
      <c r="A84" s="8" t="inlineStr">
        <is>
          <t>4.1.3.3</t>
        </is>
      </c>
      <c r="B84" s="9" t="inlineStr">
        <is>
          <t>Монтаж оцинкованного воздуховода Ø200</t>
        </is>
      </c>
      <c r="C84" s="8" t="inlineStr">
        <is>
          <t>м.п.</t>
        </is>
      </c>
      <c r="D84" s="10" t="n">
        <v>6.5</v>
      </c>
      <c r="E84" s="10" t="n">
        <v>1050</v>
      </c>
      <c r="F84" s="10" t="n">
        <v>1200</v>
      </c>
      <c r="G84" s="10">
        <f>D84*E84</f>
        <v/>
      </c>
      <c r="H84" s="10">
        <f>D84*F84</f>
        <v/>
      </c>
      <c r="I84" s="10">
        <f>G84+H84</f>
        <v/>
      </c>
      <c r="J84" s="9" t="inlineStr"/>
    </row>
    <row r="85">
      <c r="A85" s="8" t="inlineStr">
        <is>
          <t>4.1.3.4</t>
        </is>
      </c>
      <c r="B85" s="9" t="inlineStr">
        <is>
          <t>Монтаж оцинкованного воздуховода Ø315</t>
        </is>
      </c>
      <c r="C85" s="8" t="inlineStr">
        <is>
          <t>м.п.</t>
        </is>
      </c>
      <c r="D85" s="10" t="n">
        <v>10.5</v>
      </c>
      <c r="E85" s="10" t="n">
        <v>1450</v>
      </c>
      <c r="F85" s="10" t="n">
        <v>2100</v>
      </c>
      <c r="G85" s="10">
        <f>D85*E85</f>
        <v/>
      </c>
      <c r="H85" s="10">
        <f>D85*F85</f>
        <v/>
      </c>
      <c r="I85" s="10">
        <f>G85+H85</f>
        <v/>
      </c>
      <c r="J85" s="9" t="inlineStr"/>
    </row>
    <row r="86">
      <c r="A86" s="8" t="inlineStr">
        <is>
          <t>4.1.3.5</t>
        </is>
      </c>
      <c r="B86" s="9" t="inlineStr">
        <is>
          <t>Монтаж перехода оцинк. Ø200/160</t>
        </is>
      </c>
      <c r="C86" s="8" t="inlineStr">
        <is>
          <t>шт.</t>
        </is>
      </c>
      <c r="D86" s="10" t="n">
        <v>2</v>
      </c>
      <c r="E86" s="10" t="n">
        <v>1050</v>
      </c>
      <c r="F86" s="10" t="n">
        <v>1250</v>
      </c>
      <c r="G86" s="10">
        <f>D86*E86</f>
        <v/>
      </c>
      <c r="H86" s="10">
        <f>D86*F86</f>
        <v/>
      </c>
      <c r="I86" s="10">
        <f>G86+H86</f>
        <v/>
      </c>
      <c r="J86" s="9" t="inlineStr"/>
    </row>
    <row r="87">
      <c r="A87" s="8" t="inlineStr">
        <is>
          <t>4.1.3.6</t>
        </is>
      </c>
      <c r="B87" s="9" t="inlineStr">
        <is>
          <t>Монтаж тройника оцинк. Ø200/200/200</t>
        </is>
      </c>
      <c r="C87" s="8" t="inlineStr">
        <is>
          <t>шт.</t>
        </is>
      </c>
      <c r="D87" s="10" t="n">
        <v>1</v>
      </c>
      <c r="E87" s="10" t="n">
        <v>1550</v>
      </c>
      <c r="F87" s="10" t="n">
        <v>2300</v>
      </c>
      <c r="G87" s="10">
        <f>D87*E87</f>
        <v/>
      </c>
      <c r="H87" s="10">
        <f>D87*F87</f>
        <v/>
      </c>
      <c r="I87" s="10">
        <f>G87+H87</f>
        <v/>
      </c>
      <c r="J87" s="9" t="inlineStr"/>
    </row>
    <row r="88">
      <c r="A88" s="8" t="inlineStr">
        <is>
          <t>4.1.3.7</t>
        </is>
      </c>
      <c r="B88" s="9" t="inlineStr">
        <is>
          <t>Монтаж перехода оцинк. Ø200/315</t>
        </is>
      </c>
      <c r="C88" s="8" t="inlineStr">
        <is>
          <t>шт.</t>
        </is>
      </c>
      <c r="D88" s="10" t="n">
        <v>1</v>
      </c>
      <c r="E88" s="10" t="n">
        <v>1250</v>
      </c>
      <c r="F88" s="10" t="n">
        <v>1900</v>
      </c>
      <c r="G88" s="10">
        <f>D88*E88</f>
        <v/>
      </c>
      <c r="H88" s="10">
        <f>D88*F88</f>
        <v/>
      </c>
      <c r="I88" s="10">
        <f>G88+H88</f>
        <v/>
      </c>
      <c r="J88" s="9" t="inlineStr"/>
    </row>
    <row r="89">
      <c r="A89" s="8" t="inlineStr">
        <is>
          <t>4.1.3.8</t>
        </is>
      </c>
      <c r="B89" s="9" t="inlineStr">
        <is>
          <t>Монтаж вент. решётки оцинк. 200×100</t>
        </is>
      </c>
      <c r="C89" s="8" t="inlineStr">
        <is>
          <t>шт.</t>
        </is>
      </c>
      <c r="D89" s="10" t="n">
        <v>8</v>
      </c>
      <c r="E89" s="10" t="n">
        <v>620</v>
      </c>
      <c r="F89" s="10" t="n">
        <v>720</v>
      </c>
      <c r="G89" s="10">
        <f>D89*E89</f>
        <v/>
      </c>
      <c r="H89" s="10">
        <f>D89*F89</f>
        <v/>
      </c>
      <c r="I89" s="10">
        <f>G89+H89</f>
        <v/>
      </c>
      <c r="J89" s="9" t="inlineStr"/>
    </row>
    <row r="90">
      <c r="A90" s="8" t="inlineStr">
        <is>
          <t>4.1.3.9</t>
        </is>
      </c>
      <c r="B90" s="9" t="inlineStr">
        <is>
          <t>Монтаж угла 90° оцинк. Ø160</t>
        </is>
      </c>
      <c r="C90" s="8" t="inlineStr">
        <is>
          <t>шт.</t>
        </is>
      </c>
      <c r="D90" s="10" t="n">
        <v>2</v>
      </c>
      <c r="E90" s="10" t="n">
        <v>920</v>
      </c>
      <c r="F90" s="10" t="n">
        <v>950</v>
      </c>
      <c r="G90" s="10">
        <f>D90*E90</f>
        <v/>
      </c>
      <c r="H90" s="10">
        <f>D90*F90</f>
        <v/>
      </c>
      <c r="I90" s="10">
        <f>G90+H90</f>
        <v/>
      </c>
      <c r="J90" s="9" t="inlineStr"/>
    </row>
    <row r="91">
      <c r="A91" s="8" t="inlineStr">
        <is>
          <t>4.1.3.10</t>
        </is>
      </c>
      <c r="B91" s="9" t="inlineStr">
        <is>
          <t>Монтаж угла 90° оцинк. Ø315</t>
        </is>
      </c>
      <c r="C91" s="8" t="inlineStr">
        <is>
          <t>шт.</t>
        </is>
      </c>
      <c r="D91" s="10" t="n">
        <v>2</v>
      </c>
      <c r="E91" s="10" t="n">
        <v>1550</v>
      </c>
      <c r="F91" s="10" t="n">
        <v>2600</v>
      </c>
      <c r="G91" s="10">
        <f>D91*E91</f>
        <v/>
      </c>
      <c r="H91" s="10">
        <f>D91*F91</f>
        <v/>
      </c>
      <c r="I91" s="10">
        <f>G91+H91</f>
        <v/>
      </c>
      <c r="J91" s="9" t="inlineStr"/>
    </row>
    <row r="92">
      <c r="A92" s="8" t="inlineStr">
        <is>
          <t>4.1.3.12</t>
        </is>
      </c>
      <c r="B92" s="9" t="inlineStr">
        <is>
          <t>Монтаж заглушки оцинк. Ø160</t>
        </is>
      </c>
      <c r="C92" s="8" t="inlineStr">
        <is>
          <t>шт.</t>
        </is>
      </c>
      <c r="D92" s="10" t="n">
        <v>2</v>
      </c>
      <c r="E92" s="10" t="n">
        <v>420</v>
      </c>
      <c r="F92" s="10" t="n">
        <v>420</v>
      </c>
      <c r="G92" s="10">
        <f>D92*E92</f>
        <v/>
      </c>
      <c r="H92" s="10">
        <f>D92*F92</f>
        <v/>
      </c>
      <c r="I92" s="10">
        <f>G92+H92</f>
        <v/>
      </c>
      <c r="J92" s="9" t="inlineStr"/>
    </row>
    <row r="93">
      <c r="A93" s="8" t="inlineStr">
        <is>
          <t>4.1.3.13</t>
        </is>
      </c>
      <c r="B93" s="9" t="inlineStr">
        <is>
          <t>Монтаж канального вентилятора Ø200 с подставкой (креплением)</t>
        </is>
      </c>
      <c r="C93" s="8" t="inlineStr">
        <is>
          <t>шт.</t>
        </is>
      </c>
      <c r="D93" s="10" t="n">
        <v>1</v>
      </c>
      <c r="E93" s="10" t="n">
        <v>6200</v>
      </c>
      <c r="F93" s="10" t="n">
        <v>14500</v>
      </c>
      <c r="G93" s="10">
        <f>D93*E93</f>
        <v/>
      </c>
      <c r="H93" s="10">
        <f>D93*F93</f>
        <v/>
      </c>
      <c r="I93" s="10">
        <f>G93+H93</f>
        <v/>
      </c>
      <c r="J93" s="9" t="inlineStr">
        <is>
          <t>канальный вентилятор 200, кронштейн</t>
        </is>
      </c>
    </row>
    <row r="94">
      <c r="A94" s="8" t="inlineStr">
        <is>
          <t>4.1.3.14</t>
        </is>
      </c>
      <c r="B94" s="9" t="inlineStr">
        <is>
          <t>Монтаж утеплителя Ø200 Пенофол 10 мм</t>
        </is>
      </c>
      <c r="C94" s="8" t="inlineStr">
        <is>
          <t>м.п.</t>
        </is>
      </c>
      <c r="D94" s="10" t="n">
        <v>6</v>
      </c>
      <c r="E94" s="10" t="n">
        <v>360</v>
      </c>
      <c r="F94" s="10" t="n">
        <v>260</v>
      </c>
      <c r="G94" s="10">
        <f>D94*E94</f>
        <v/>
      </c>
      <c r="H94" s="10">
        <f>D94*F94</f>
        <v/>
      </c>
      <c r="I94" s="10">
        <f>G94+H94</f>
        <v/>
      </c>
      <c r="J94" s="9" t="inlineStr"/>
    </row>
    <row r="95">
      <c r="A95" s="8" t="inlineStr">
        <is>
          <t>4.1.3.15</t>
        </is>
      </c>
      <c r="B95" s="9" t="inlineStr">
        <is>
          <t>Монтаж утеплителя Ø315 Пенофол 10 мм</t>
        </is>
      </c>
      <c r="C95" s="8" t="inlineStr">
        <is>
          <t>м.п.</t>
        </is>
      </c>
      <c r="D95" s="10" t="n">
        <v>10.2</v>
      </c>
      <c r="E95" s="10" t="n">
        <v>460</v>
      </c>
      <c r="F95" s="10" t="n">
        <v>390</v>
      </c>
      <c r="G95" s="10">
        <f>D95*E95</f>
        <v/>
      </c>
      <c r="H95" s="10">
        <f>D95*F95</f>
        <v/>
      </c>
      <c r="I95" s="10">
        <f>G95+H95</f>
        <v/>
      </c>
      <c r="J95" s="9" t="inlineStr"/>
    </row>
    <row r="96">
      <c r="A96" s="8" t="inlineStr">
        <is>
          <t>4.1.3.16</t>
        </is>
      </c>
      <c r="B96" s="9" t="inlineStr">
        <is>
          <t>Монтаж креплений для воздуховода</t>
        </is>
      </c>
      <c r="C96" s="8" t="inlineStr">
        <is>
          <t>кг</t>
        </is>
      </c>
      <c r="D96" s="10" t="n">
        <v>20</v>
      </c>
      <c r="E96" s="10" t="n">
        <v>260</v>
      </c>
      <c r="F96" s="10" t="n">
        <v>330</v>
      </c>
      <c r="G96" s="10">
        <f>D96*E96</f>
        <v/>
      </c>
      <c r="H96" s="10">
        <f>D96*F96</f>
        <v/>
      </c>
      <c r="I96" s="10">
        <f>G96+H96</f>
        <v/>
      </c>
      <c r="J96" s="9" t="inlineStr">
        <is>
          <t>шпилька, хомуты, профиль</t>
        </is>
      </c>
    </row>
    <row r="97">
      <c r="A97" s="8" t="inlineStr">
        <is>
          <t>4.1.3.17</t>
        </is>
      </c>
      <c r="B97" s="9" t="inlineStr">
        <is>
          <t>Монтаж обратного клапана Ø200</t>
        </is>
      </c>
      <c r="C97" s="8" t="inlineStr">
        <is>
          <t>шт.</t>
        </is>
      </c>
      <c r="D97" s="10" t="n">
        <v>1</v>
      </c>
      <c r="E97" s="10" t="n">
        <v>1250</v>
      </c>
      <c r="F97" s="10" t="n">
        <v>2600</v>
      </c>
      <c r="G97" s="10">
        <f>D97*E97</f>
        <v/>
      </c>
      <c r="H97" s="10">
        <f>D97*F97</f>
        <v/>
      </c>
      <c r="I97" s="10">
        <f>G97+H97</f>
        <v/>
      </c>
      <c r="J97" s="9" t="inlineStr"/>
    </row>
    <row r="98">
      <c r="A98" s="8" t="inlineStr">
        <is>
          <t>4.1.3.18</t>
        </is>
      </c>
      <c r="B98" s="9" t="inlineStr">
        <is>
          <t>Монтаж вентиляционного оцинкованного зонта на шахту Ø315</t>
        </is>
      </c>
      <c r="C98" s="8" t="inlineStr">
        <is>
          <t>шт.</t>
        </is>
      </c>
      <c r="D98" s="10" t="n">
        <v>1</v>
      </c>
      <c r="E98" s="10" t="n">
        <v>2600</v>
      </c>
      <c r="F98" s="10" t="n">
        <v>3600</v>
      </c>
      <c r="G98" s="10">
        <f>D98*E98</f>
        <v/>
      </c>
      <c r="H98" s="10">
        <f>D98*F98</f>
        <v/>
      </c>
      <c r="I98" s="10">
        <f>G98+H98</f>
        <v/>
      </c>
      <c r="J98" s="9" t="inlineStr">
        <is>
          <t>работа на кровле/шахте</t>
        </is>
      </c>
    </row>
    <row r="99">
      <c r="A99" s="8" t="inlineStr">
        <is>
          <t>4.1.3.19</t>
        </is>
      </c>
      <c r="B99" s="9" t="inlineStr">
        <is>
          <t>Демонтаж стеклопакета 740×1680×32 из оконного блока</t>
        </is>
      </c>
      <c r="C99" s="8" t="inlineStr">
        <is>
          <t>шт.</t>
        </is>
      </c>
      <c r="D99" s="10" t="n">
        <v>1</v>
      </c>
      <c r="E99" s="10" t="n">
        <v>2100</v>
      </c>
      <c r="F99" s="10" t="n">
        <v>0</v>
      </c>
      <c r="G99" s="10">
        <f>D99*E99</f>
        <v/>
      </c>
      <c r="H99" s="10">
        <f>D99*F99</f>
        <v/>
      </c>
      <c r="I99" s="10">
        <f>G99+H99</f>
        <v/>
      </c>
      <c r="J99" s="9" t="inlineStr"/>
    </row>
    <row r="100">
      <c r="A100" s="8" t="inlineStr">
        <is>
          <t>4.1.3.20</t>
        </is>
      </c>
      <c r="B100" s="9" t="inlineStr">
        <is>
          <t>Монтаж сэндвич-панели 740×1680×32 вместо стеклопакета с отверстием Ø200, заделка, герметизация</t>
        </is>
      </c>
      <c r="C100" s="8" t="inlineStr">
        <is>
          <t>шт.</t>
        </is>
      </c>
      <c r="D100" s="10" t="n">
        <v>1</v>
      </c>
      <c r="E100" s="10" t="n">
        <v>4600</v>
      </c>
      <c r="F100" s="10" t="n">
        <v>4700</v>
      </c>
      <c r="G100" s="10">
        <f>D100*E100</f>
        <v/>
      </c>
      <c r="H100" s="10">
        <f>D100*F100</f>
        <v/>
      </c>
      <c r="I100" s="10">
        <f>G100+H100</f>
        <v/>
      </c>
      <c r="J100" s="9" t="inlineStr">
        <is>
          <t>сэндвич-панель, герметик</t>
        </is>
      </c>
    </row>
    <row r="101">
      <c r="A101" s="8" t="inlineStr">
        <is>
          <t>4.1.3.21</t>
        </is>
      </c>
      <c r="B101" s="9" t="inlineStr">
        <is>
          <t>Пробивка отверстия Ø200</t>
        </is>
      </c>
      <c r="C101" s="8" t="inlineStr">
        <is>
          <t>шт.</t>
        </is>
      </c>
      <c r="D101" s="10" t="n">
        <v>2</v>
      </c>
      <c r="E101" s="10" t="n">
        <v>5200</v>
      </c>
      <c r="F101" s="10" t="n">
        <v>0</v>
      </c>
      <c r="G101" s="10">
        <f>D101*E101</f>
        <v/>
      </c>
      <c r="H101" s="10">
        <f>D101*F101</f>
        <v/>
      </c>
      <c r="I101" s="10">
        <f>G101+H101</f>
        <v/>
      </c>
      <c r="J101" s="9" t="inlineStr">
        <is>
          <t>алмазное бурение, толщину стены уточнить</t>
        </is>
      </c>
    </row>
    <row r="102">
      <c r="A102" s="7" t="inlineStr">
        <is>
          <t>4.1.4. Электроснабжение</t>
        </is>
      </c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8" t="inlineStr">
        <is>
          <t>4.1.4.1</t>
        </is>
      </c>
      <c r="B103" s="9" t="inlineStr">
        <is>
          <t>Демонтаж светодиодных светильников РИТМ ССОП 36В 6Вт</t>
        </is>
      </c>
      <c r="C103" s="8" t="inlineStr">
        <is>
          <t>шт.</t>
        </is>
      </c>
      <c r="D103" s="10" t="n">
        <v>5</v>
      </c>
      <c r="E103" s="10" t="n">
        <v>420</v>
      </c>
      <c r="F103" s="10" t="n">
        <v>0</v>
      </c>
      <c r="G103" s="10">
        <f>D103*E103</f>
        <v/>
      </c>
      <c r="H103" s="10">
        <f>D103*F103</f>
        <v/>
      </c>
      <c r="I103" s="10">
        <f>G103+H103</f>
        <v/>
      </c>
      <c r="J103" s="9" t="inlineStr"/>
    </row>
    <row r="104">
      <c r="A104" s="8" t="inlineStr">
        <is>
          <t>4.1.4.2</t>
        </is>
      </c>
      <c r="B104" s="9" t="inlineStr">
        <is>
          <t>Демонтаж кабель-канала 40×17</t>
        </is>
      </c>
      <c r="C104" s="8" t="inlineStr">
        <is>
          <t>м.п.</t>
        </is>
      </c>
      <c r="D104" s="10" t="n">
        <v>30</v>
      </c>
      <c r="E104" s="10" t="n">
        <v>85</v>
      </c>
      <c r="F104" s="10" t="n">
        <v>0</v>
      </c>
      <c r="G104" s="10">
        <f>D104*E104</f>
        <v/>
      </c>
      <c r="H104" s="10">
        <f>D104*F104</f>
        <v/>
      </c>
      <c r="I104" s="10">
        <f>G104+H104</f>
        <v/>
      </c>
      <c r="J104" s="9" t="inlineStr"/>
    </row>
    <row r="105">
      <c r="A105" s="8" t="inlineStr">
        <is>
          <t>4.1.4.3</t>
        </is>
      </c>
      <c r="B105" s="9" t="inlineStr">
        <is>
          <t>Демонтаж кабеля ВВГнг-LS 3×1,5</t>
        </is>
      </c>
      <c r="C105" s="8" t="inlineStr">
        <is>
          <t>м.п.</t>
        </is>
      </c>
      <c r="D105" s="10" t="n">
        <v>30</v>
      </c>
      <c r="E105" s="10" t="n">
        <v>65</v>
      </c>
      <c r="F105" s="10" t="n">
        <v>0</v>
      </c>
      <c r="G105" s="10">
        <f>D105*E105</f>
        <v/>
      </c>
      <c r="H105" s="10">
        <f>D105*F105</f>
        <v/>
      </c>
      <c r="I105" s="10">
        <f>G105+H105</f>
        <v/>
      </c>
      <c r="J105" s="9" t="inlineStr"/>
    </row>
    <row r="106">
      <c r="A106" s="8" t="inlineStr">
        <is>
          <t>4.1.4.4</t>
        </is>
      </c>
      <c r="B106" s="9" t="inlineStr">
        <is>
          <t>Монтаж светодиодных светильников 36В 6Вт (влагозащищённых)</t>
        </is>
      </c>
      <c r="C106" s="8" t="inlineStr">
        <is>
          <t>шт.</t>
        </is>
      </c>
      <c r="D106" s="10" t="n">
        <v>10</v>
      </c>
      <c r="E106" s="10" t="n">
        <v>1250</v>
      </c>
      <c r="F106" s="10" t="n">
        <v>2600</v>
      </c>
      <c r="G106" s="10">
        <f>D106*E106</f>
        <v/>
      </c>
      <c r="H106" s="10">
        <f>D106*F106</f>
        <v/>
      </c>
      <c r="I106" s="10">
        <f>G106+H106</f>
        <v/>
      </c>
      <c r="J106" s="9" t="inlineStr">
        <is>
          <t>светильник IP65 36В</t>
        </is>
      </c>
    </row>
    <row r="107">
      <c r="A107" s="8" t="inlineStr">
        <is>
          <t>4.1.4.5</t>
        </is>
      </c>
      <c r="B107" s="9" t="inlineStr">
        <is>
          <t>Монтаж кабель-канала 15×18</t>
        </is>
      </c>
      <c r="C107" s="8" t="inlineStr">
        <is>
          <t>м.п.</t>
        </is>
      </c>
      <c r="D107" s="10" t="n">
        <v>40</v>
      </c>
      <c r="E107" s="10" t="n">
        <v>190</v>
      </c>
      <c r="F107" s="10" t="n">
        <v>95</v>
      </c>
      <c r="G107" s="10">
        <f>D107*E107</f>
        <v/>
      </c>
      <c r="H107" s="10">
        <f>D107*F107</f>
        <v/>
      </c>
      <c r="I107" s="10">
        <f>G107+H107</f>
        <v/>
      </c>
      <c r="J107" s="9" t="inlineStr"/>
    </row>
    <row r="108">
      <c r="A108" s="8" t="inlineStr">
        <is>
          <t>4.1.4.6</t>
        </is>
      </c>
      <c r="B108" s="9" t="inlineStr">
        <is>
          <t>Монтаж кабеля ВВГнг-LS 3×1,5</t>
        </is>
      </c>
      <c r="C108" s="8" t="inlineStr">
        <is>
          <t>м.п.</t>
        </is>
      </c>
      <c r="D108" s="10" t="n">
        <v>40</v>
      </c>
      <c r="E108" s="10" t="n">
        <v>125</v>
      </c>
      <c r="F108" s="10" t="n">
        <v>115</v>
      </c>
      <c r="G108" s="10">
        <f>D108*E108</f>
        <v/>
      </c>
      <c r="H108" s="10">
        <f>D108*F108</f>
        <v/>
      </c>
      <c r="I108" s="10">
        <f>G108+H108</f>
        <v/>
      </c>
      <c r="J108" s="9" t="inlineStr"/>
    </row>
    <row r="109">
      <c r="A109" s="8" t="inlineStr">
        <is>
          <t>4.1.4.7</t>
        </is>
      </c>
      <c r="B109" s="9" t="inlineStr">
        <is>
          <t>Монтаж влагозащищённых распаечных коробок</t>
        </is>
      </c>
      <c r="C109" s="8" t="inlineStr">
        <is>
          <t>шт.</t>
        </is>
      </c>
      <c r="D109" s="10" t="n">
        <v>5</v>
      </c>
      <c r="E109" s="10" t="n">
        <v>620</v>
      </c>
      <c r="F109" s="10" t="n">
        <v>360</v>
      </c>
      <c r="G109" s="10">
        <f>D109*E109</f>
        <v/>
      </c>
      <c r="H109" s="10">
        <f>D109*F109</f>
        <v/>
      </c>
      <c r="I109" s="10">
        <f>G109+H109</f>
        <v/>
      </c>
      <c r="J109" s="9" t="inlineStr">
        <is>
          <t>IP55</t>
        </is>
      </c>
    </row>
    <row r="110">
      <c r="A110" s="5" t="inlineStr">
        <is>
          <t>ПОМЕЩЕНИЕ № 2 (УМЫВАЛЬНИК), 24,6 м², h=2,9 м</t>
        </is>
      </c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7" t="inlineStr">
        <is>
          <t>4.2.1. Общестроительные работы — Потолок</t>
        </is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8" t="inlineStr">
        <is>
          <t>4.2.1.1</t>
        </is>
      </c>
      <c r="B112" s="9" t="inlineStr">
        <is>
          <t>Очистка поверхности потолка от краски</t>
        </is>
      </c>
      <c r="C112" s="8" t="inlineStr">
        <is>
          <t>м²</t>
        </is>
      </c>
      <c r="D112" s="10" t="n">
        <v>24.6</v>
      </c>
      <c r="E112" s="10" t="n">
        <v>260</v>
      </c>
      <c r="F112" s="10" t="n">
        <v>0</v>
      </c>
      <c r="G112" s="10">
        <f>D112*E112</f>
        <v/>
      </c>
      <c r="H112" s="10">
        <f>D112*F112</f>
        <v/>
      </c>
      <c r="I112" s="10">
        <f>G112+H112</f>
        <v/>
      </c>
      <c r="J112" s="9" t="inlineStr"/>
    </row>
    <row r="113">
      <c r="A113" s="8" t="inlineStr">
        <is>
          <t>4.2.1.2</t>
        </is>
      </c>
      <c r="B113" s="9" t="inlineStr">
        <is>
          <t>Очистка поверхности потолка от грибка, плесени</t>
        </is>
      </c>
      <c r="C113" s="8" t="inlineStr">
        <is>
          <t>м²</t>
        </is>
      </c>
      <c r="D113" s="10" t="n">
        <v>11.6</v>
      </c>
      <c r="E113" s="10" t="n">
        <v>130</v>
      </c>
      <c r="F113" s="10" t="n">
        <v>0</v>
      </c>
      <c r="G113" s="10">
        <f>D113*E113</f>
        <v/>
      </c>
      <c r="H113" s="10">
        <f>D113*F113</f>
        <v/>
      </c>
      <c r="I113" s="10">
        <f>G113+H113</f>
        <v/>
      </c>
      <c r="J113" s="9" t="inlineStr"/>
    </row>
    <row r="114">
      <c r="A114" s="8" t="inlineStr">
        <is>
          <t>4.2.1.3</t>
        </is>
      </c>
      <c r="B114" s="9" t="inlineStr">
        <is>
          <t>Обработка потолка противогрибковым составом</t>
        </is>
      </c>
      <c r="C114" s="8" t="inlineStr">
        <is>
          <t>м²</t>
        </is>
      </c>
      <c r="D114" s="10" t="n">
        <v>24.6</v>
      </c>
      <c r="E114" s="10" t="n">
        <v>95</v>
      </c>
      <c r="F114" s="10" t="n">
        <v>65</v>
      </c>
      <c r="G114" s="10">
        <f>D114*E114</f>
        <v/>
      </c>
      <c r="H114" s="10">
        <f>D114*F114</f>
        <v/>
      </c>
      <c r="I114" s="10">
        <f>G114+H114</f>
        <v/>
      </c>
      <c r="J114" s="9" t="inlineStr"/>
    </row>
    <row r="115">
      <c r="A115" s="8" t="inlineStr">
        <is>
          <t>4.2.1.4</t>
        </is>
      </c>
      <c r="B115" s="9" t="inlineStr">
        <is>
          <t>Грунтование потолка типа «Бетоноконтакт»</t>
        </is>
      </c>
      <c r="C115" s="8" t="inlineStr">
        <is>
          <t>м²</t>
        </is>
      </c>
      <c r="D115" s="10" t="n">
        <v>24.6</v>
      </c>
      <c r="E115" s="10" t="n">
        <v>95</v>
      </c>
      <c r="F115" s="10" t="n">
        <v>75</v>
      </c>
      <c r="G115" s="10">
        <f>D115*E115</f>
        <v/>
      </c>
      <c r="H115" s="10">
        <f>D115*F115</f>
        <v/>
      </c>
      <c r="I115" s="10">
        <f>G115+H115</f>
        <v/>
      </c>
      <c r="J115" s="9" t="inlineStr"/>
    </row>
    <row r="116">
      <c r="A116" s="8" t="inlineStr">
        <is>
          <t>4.2.1.5</t>
        </is>
      </c>
      <c r="B116" s="9" t="inlineStr">
        <is>
          <t>Выравнивание потолка штукатурной смесью по стеклотканевой сетке</t>
        </is>
      </c>
      <c r="C116" s="8" t="inlineStr">
        <is>
          <t>м²</t>
        </is>
      </c>
      <c r="D116" s="10" t="n">
        <v>24.6</v>
      </c>
      <c r="E116" s="10" t="n">
        <v>980</v>
      </c>
      <c r="F116" s="10" t="n">
        <v>390</v>
      </c>
      <c r="G116" s="10">
        <f>D116*E116</f>
        <v/>
      </c>
      <c r="H116" s="10">
        <f>D116*F116</f>
        <v/>
      </c>
      <c r="I116" s="10">
        <f>G116+H116</f>
        <v/>
      </c>
      <c r="J116" s="9" t="inlineStr"/>
    </row>
    <row r="117">
      <c r="A117" s="8" t="inlineStr">
        <is>
          <t>4.2.1.6</t>
        </is>
      </c>
      <c r="B117" s="9" t="inlineStr">
        <is>
          <t>Шпатлевание поверхности потолка</t>
        </is>
      </c>
      <c r="C117" s="8" t="inlineStr">
        <is>
          <t>м²</t>
        </is>
      </c>
      <c r="D117" s="10" t="n">
        <v>24.6</v>
      </c>
      <c r="E117" s="10" t="n">
        <v>460</v>
      </c>
      <c r="F117" s="10" t="n">
        <v>130</v>
      </c>
      <c r="G117" s="10">
        <f>D117*E117</f>
        <v/>
      </c>
      <c r="H117" s="10">
        <f>D117*F117</f>
        <v/>
      </c>
      <c r="I117" s="10">
        <f>G117+H117</f>
        <v/>
      </c>
      <c r="J117" s="9" t="inlineStr"/>
    </row>
    <row r="118">
      <c r="A118" s="8" t="inlineStr">
        <is>
          <t>4.2.1.7</t>
        </is>
      </c>
      <c r="B118" s="9" t="inlineStr">
        <is>
          <t>Грунтование потолка грунтовкой глубокого проникновения</t>
        </is>
      </c>
      <c r="C118" s="8" t="inlineStr">
        <is>
          <t>м²</t>
        </is>
      </c>
      <c r="D118" s="10" t="n">
        <v>24.6</v>
      </c>
      <c r="E118" s="10" t="n">
        <v>75</v>
      </c>
      <c r="F118" s="10" t="n">
        <v>40</v>
      </c>
      <c r="G118" s="10">
        <f>D118*E118</f>
        <v/>
      </c>
      <c r="H118" s="10">
        <f>D118*F118</f>
        <v/>
      </c>
      <c r="I118" s="10">
        <f>G118+H118</f>
        <v/>
      </c>
      <c r="J118" s="9" t="inlineStr"/>
    </row>
    <row r="119">
      <c r="A119" s="8" t="inlineStr">
        <is>
          <t>4.2.1.8</t>
        </is>
      </c>
      <c r="B119" s="9" t="inlineStr">
        <is>
          <t>Ремонт штукатурки швов плит перекрытий по сетке (до 10 мм, шир. 150 мм)</t>
        </is>
      </c>
      <c r="C119" s="8" t="inlineStr">
        <is>
          <t>м.п.</t>
        </is>
      </c>
      <c r="D119" s="10" t="n">
        <v>7.9</v>
      </c>
      <c r="E119" s="10" t="n">
        <v>680</v>
      </c>
      <c r="F119" s="10" t="n">
        <v>160</v>
      </c>
      <c r="G119" s="10">
        <f>D119*E119</f>
        <v/>
      </c>
      <c r="H119" s="10">
        <f>D119*F119</f>
        <v/>
      </c>
      <c r="I119" s="10">
        <f>G119+H119</f>
        <v/>
      </c>
      <c r="J119" s="9" t="inlineStr"/>
    </row>
    <row r="120">
      <c r="A120" s="8" t="inlineStr">
        <is>
          <t>4.2.1.9</t>
        </is>
      </c>
      <c r="B120" s="9" t="inlineStr">
        <is>
          <t>Окраска потолка водоэмульсионной краской за 2 раза</t>
        </is>
      </c>
      <c r="C120" s="8" t="inlineStr">
        <is>
          <t>м²</t>
        </is>
      </c>
      <c r="D120" s="10" t="n">
        <v>24.6</v>
      </c>
      <c r="E120" s="10" t="n">
        <v>330</v>
      </c>
      <c r="F120" s="10" t="n">
        <v>140</v>
      </c>
      <c r="G120" s="10">
        <f>D120*E120</f>
        <v/>
      </c>
      <c r="H120" s="10">
        <f>D120*F120</f>
        <v/>
      </c>
      <c r="I120" s="10">
        <f>G120+H120</f>
        <v/>
      </c>
      <c r="J120" s="9" t="inlineStr">
        <is>
          <t>ВД краска</t>
        </is>
      </c>
    </row>
    <row r="121">
      <c r="A121" s="7" t="inlineStr">
        <is>
          <t>Стены</t>
        </is>
      </c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8" t="inlineStr">
        <is>
          <t>4.2.1.10</t>
        </is>
      </c>
      <c r="B122" s="9" t="inlineStr">
        <is>
          <t>Снятие облицовочной плитки со стен</t>
        </is>
      </c>
      <c r="C122" s="8" t="inlineStr">
        <is>
          <t>м²</t>
        </is>
      </c>
      <c r="D122" s="10" t="n">
        <v>12.2</v>
      </c>
      <c r="E122" s="10" t="n">
        <v>360</v>
      </c>
      <c r="F122" s="10" t="n">
        <v>0</v>
      </c>
      <c r="G122" s="10">
        <f>D122*E122</f>
        <v/>
      </c>
      <c r="H122" s="10">
        <f>D122*F122</f>
        <v/>
      </c>
      <c r="I122" s="10">
        <f>G122+H122</f>
        <v/>
      </c>
      <c r="J122" s="9" t="inlineStr"/>
    </row>
    <row r="123">
      <c r="A123" s="8" t="inlineStr">
        <is>
          <t>4.2.1.11</t>
        </is>
      </c>
      <c r="B123" s="9" t="inlineStr">
        <is>
          <t>Очистка стен от масляной, водоэмульсионной краски</t>
        </is>
      </c>
      <c r="C123" s="8" t="inlineStr">
        <is>
          <t>м²</t>
        </is>
      </c>
      <c r="D123" s="10" t="n">
        <v>28.2</v>
      </c>
      <c r="E123" s="10" t="n">
        <v>310</v>
      </c>
      <c r="F123" s="10" t="n">
        <v>0</v>
      </c>
      <c r="G123" s="10">
        <f>D123*E123</f>
        <v/>
      </c>
      <c r="H123" s="10">
        <f>D123*F123</f>
        <v/>
      </c>
      <c r="I123" s="10">
        <f>G123+H123</f>
        <v/>
      </c>
      <c r="J123" s="9" t="inlineStr"/>
    </row>
    <row r="124">
      <c r="A124" s="8" t="inlineStr">
        <is>
          <t>4.2.1.12</t>
        </is>
      </c>
      <c r="B124" s="9" t="inlineStr">
        <is>
          <t>Очистка стен от грибка, плесени</t>
        </is>
      </c>
      <c r="C124" s="8" t="inlineStr">
        <is>
          <t>м²</t>
        </is>
      </c>
      <c r="D124" s="10" t="n">
        <v>9.699999999999999</v>
      </c>
      <c r="E124" s="10" t="n">
        <v>130</v>
      </c>
      <c r="F124" s="10" t="n">
        <v>0</v>
      </c>
      <c r="G124" s="10">
        <f>D124*E124</f>
        <v/>
      </c>
      <c r="H124" s="10">
        <f>D124*F124</f>
        <v/>
      </c>
      <c r="I124" s="10">
        <f>G124+H124</f>
        <v/>
      </c>
      <c r="J124" s="9" t="inlineStr"/>
    </row>
    <row r="125">
      <c r="A125" s="8" t="inlineStr">
        <is>
          <t>4.2.1.13</t>
        </is>
      </c>
      <c r="B125" s="9" t="inlineStr">
        <is>
          <t>Обработка стен противогрибковым составом (в ТЗ ошибочно 4.1.1.13)</t>
        </is>
      </c>
      <c r="C125" s="8" t="inlineStr">
        <is>
          <t>м²</t>
        </is>
      </c>
      <c r="D125" s="10" t="n">
        <v>9.699999999999999</v>
      </c>
      <c r="E125" s="10" t="n">
        <v>95</v>
      </c>
      <c r="F125" s="10" t="n">
        <v>65</v>
      </c>
      <c r="G125" s="10">
        <f>D125*E125</f>
        <v/>
      </c>
      <c r="H125" s="10">
        <f>D125*F125</f>
        <v/>
      </c>
      <c r="I125" s="10">
        <f>G125+H125</f>
        <v/>
      </c>
      <c r="J125" s="9" t="inlineStr"/>
    </row>
    <row r="126">
      <c r="A126" s="8" t="inlineStr">
        <is>
          <t>4.2.1.14</t>
        </is>
      </c>
      <c r="B126" s="9" t="inlineStr">
        <is>
          <t>Ремонт штукатурки стен по стеклотканевой сетке</t>
        </is>
      </c>
      <c r="C126" s="8" t="inlineStr">
        <is>
          <t>м²</t>
        </is>
      </c>
      <c r="D126" s="10" t="n">
        <v>9.699999999999999</v>
      </c>
      <c r="E126" s="10" t="n">
        <v>820</v>
      </c>
      <c r="F126" s="10" t="n">
        <v>320</v>
      </c>
      <c r="G126" s="10">
        <f>D126*E126</f>
        <v/>
      </c>
      <c r="H126" s="10">
        <f>D126*F126</f>
        <v/>
      </c>
      <c r="I126" s="10">
        <f>G126+H126</f>
        <v/>
      </c>
      <c r="J126" s="9" t="inlineStr"/>
    </row>
    <row r="127">
      <c r="A127" s="8" t="inlineStr">
        <is>
          <t>4.2.1.15</t>
        </is>
      </c>
      <c r="B127" s="9" t="inlineStr">
        <is>
          <t>Грунтование стен типа «Бетоноконтакт»</t>
        </is>
      </c>
      <c r="C127" s="8" t="inlineStr">
        <is>
          <t>м²</t>
        </is>
      </c>
      <c r="D127" s="10" t="n">
        <v>40.4</v>
      </c>
      <c r="E127" s="10" t="n">
        <v>95</v>
      </c>
      <c r="F127" s="10" t="n">
        <v>75</v>
      </c>
      <c r="G127" s="10">
        <f>D127*E127</f>
        <v/>
      </c>
      <c r="H127" s="10">
        <f>D127*F127</f>
        <v/>
      </c>
      <c r="I127" s="10">
        <f>G127+H127</f>
        <v/>
      </c>
      <c r="J127" s="9" t="inlineStr"/>
    </row>
    <row r="128">
      <c r="A128" s="8" t="inlineStr">
        <is>
          <t>4.2.1.16</t>
        </is>
      </c>
      <c r="B128" s="9" t="inlineStr">
        <is>
          <t>Выравнивание стен штукатурной смесью на цементной основе</t>
        </is>
      </c>
      <c r="C128" s="8" t="inlineStr">
        <is>
          <t>м²</t>
        </is>
      </c>
      <c r="D128" s="10" t="n">
        <v>40.4</v>
      </c>
      <c r="E128" s="10" t="n">
        <v>780</v>
      </c>
      <c r="F128" s="10" t="n">
        <v>360</v>
      </c>
      <c r="G128" s="10">
        <f>D128*E128</f>
        <v/>
      </c>
      <c r="H128" s="10">
        <f>D128*F128</f>
        <v/>
      </c>
      <c r="I128" s="10">
        <f>G128+H128</f>
        <v/>
      </c>
      <c r="J128" s="9" t="inlineStr"/>
    </row>
    <row r="129">
      <c r="A129" s="8" t="inlineStr">
        <is>
          <t>4.2.1.17</t>
        </is>
      </c>
      <c r="B129" s="9" t="inlineStr">
        <is>
          <t>Грунтовка стен грунтовкой глубокого проникновения</t>
        </is>
      </c>
      <c r="C129" s="8" t="inlineStr">
        <is>
          <t>м²</t>
        </is>
      </c>
      <c r="D129" s="10" t="n">
        <v>50.1</v>
      </c>
      <c r="E129" s="10" t="n">
        <v>75</v>
      </c>
      <c r="F129" s="10" t="n">
        <v>40</v>
      </c>
      <c r="G129" s="10">
        <f>D129*E129</f>
        <v/>
      </c>
      <c r="H129" s="10">
        <f>D129*F129</f>
        <v/>
      </c>
      <c r="I129" s="10">
        <f>G129+H129</f>
        <v/>
      </c>
      <c r="J129" s="9" t="inlineStr"/>
    </row>
    <row r="130">
      <c r="A130" s="8" t="inlineStr">
        <is>
          <t>4.2.1.18</t>
        </is>
      </c>
      <c r="B130" s="9" t="inlineStr">
        <is>
          <t>Установка перфорированного уголка на проёмы, перегородки</t>
        </is>
      </c>
      <c r="C130" s="8" t="inlineStr">
        <is>
          <t>м.п.</t>
        </is>
      </c>
      <c r="D130" s="10" t="n">
        <v>41</v>
      </c>
      <c r="E130" s="10" t="n">
        <v>190</v>
      </c>
      <c r="F130" s="10" t="n">
        <v>65</v>
      </c>
      <c r="G130" s="10">
        <f>D130*E130</f>
        <v/>
      </c>
      <c r="H130" s="10">
        <f>D130*F130</f>
        <v/>
      </c>
      <c r="I130" s="10">
        <f>G130+H130</f>
        <v/>
      </c>
      <c r="J130" s="9" t="inlineStr"/>
    </row>
    <row r="131">
      <c r="A131" s="8" t="inlineStr">
        <is>
          <t>4.2.1.19</t>
        </is>
      </c>
      <c r="B131" s="9" t="inlineStr">
        <is>
          <t>Шпатлёвка поверхности стен</t>
        </is>
      </c>
      <c r="C131" s="8" t="inlineStr">
        <is>
          <t>м²</t>
        </is>
      </c>
      <c r="D131" s="10" t="n">
        <v>37.8</v>
      </c>
      <c r="E131" s="10" t="n">
        <v>460</v>
      </c>
      <c r="F131" s="10" t="n">
        <v>120</v>
      </c>
      <c r="G131" s="10">
        <f>D131*E131</f>
        <v/>
      </c>
      <c r="H131" s="10">
        <f>D131*F131</f>
        <v/>
      </c>
      <c r="I131" s="10">
        <f>G131+H131</f>
        <v/>
      </c>
      <c r="J131" s="9" t="inlineStr"/>
    </row>
    <row r="132">
      <c r="A132" s="8" t="inlineStr">
        <is>
          <t>4.2.1.20</t>
        </is>
      </c>
      <c r="B132" s="9" t="inlineStr">
        <is>
          <t>Грунтовка стен грунтовкой глубокого проникновения</t>
        </is>
      </c>
      <c r="C132" s="8" t="inlineStr">
        <is>
          <t>м²</t>
        </is>
      </c>
      <c r="D132" s="10" t="n">
        <v>37.8</v>
      </c>
      <c r="E132" s="10" t="n">
        <v>75</v>
      </c>
      <c r="F132" s="10" t="n">
        <v>40</v>
      </c>
      <c r="G132" s="10">
        <f>D132*E132</f>
        <v/>
      </c>
      <c r="H132" s="10">
        <f>D132*F132</f>
        <v/>
      </c>
      <c r="I132" s="10">
        <f>G132+H132</f>
        <v/>
      </c>
      <c r="J132" s="9" t="inlineStr"/>
    </row>
    <row r="133">
      <c r="A133" s="8" t="inlineStr">
        <is>
          <t>4.2.1.21</t>
        </is>
      </c>
      <c r="B133" s="9" t="inlineStr">
        <is>
          <t>Облицовка стен керамической плиткой 200×300 на клей, h=1500 мм</t>
        </is>
      </c>
      <c r="C133" s="8" t="inlineStr">
        <is>
          <t>м²</t>
        </is>
      </c>
      <c r="D133" s="10" t="n">
        <v>12.2</v>
      </c>
      <c r="E133" s="10" t="n">
        <v>1850</v>
      </c>
      <c r="F133" s="10" t="n">
        <v>1350</v>
      </c>
      <c r="G133" s="10">
        <f>D133*E133</f>
        <v/>
      </c>
      <c r="H133" s="10">
        <f>D133*F133</f>
        <v/>
      </c>
      <c r="I133" s="10">
        <f>G133+H133</f>
        <v/>
      </c>
      <c r="J133" s="9" t="inlineStr"/>
    </row>
    <row r="134">
      <c r="A134" s="8" t="inlineStr">
        <is>
          <t>4.2.1.22</t>
        </is>
      </c>
      <c r="B134" s="9" t="inlineStr">
        <is>
          <t>Окраска стен водоэмульсионной краской за 2 раза</t>
        </is>
      </c>
      <c r="C134" s="8" t="inlineStr">
        <is>
          <t>м²</t>
        </is>
      </c>
      <c r="D134" s="10" t="n">
        <v>37.9</v>
      </c>
      <c r="E134" s="10" t="n">
        <v>310</v>
      </c>
      <c r="F134" s="10" t="n">
        <v>130</v>
      </c>
      <c r="G134" s="10">
        <f>D134*E134</f>
        <v/>
      </c>
      <c r="H134" s="10">
        <f>D134*F134</f>
        <v/>
      </c>
      <c r="I134" s="10">
        <f>G134+H134</f>
        <v/>
      </c>
      <c r="J134" s="9" t="inlineStr"/>
    </row>
    <row r="135">
      <c r="A135" s="7" t="inlineStr">
        <is>
          <t>Двери</t>
        </is>
      </c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8" t="inlineStr">
        <is>
          <t>4.2.1.23</t>
        </is>
      </c>
      <c r="B136" s="9" t="inlineStr">
        <is>
          <t>Разборка деревянного дверного блока 1550×2350</t>
        </is>
      </c>
      <c r="C136" s="8" t="inlineStr">
        <is>
          <t>шт.</t>
        </is>
      </c>
      <c r="D136" s="10" t="n">
        <v>1</v>
      </c>
      <c r="E136" s="10" t="n">
        <v>3200</v>
      </c>
      <c r="F136" s="10" t="n">
        <v>0</v>
      </c>
      <c r="G136" s="10">
        <f>D136*E136</f>
        <v/>
      </c>
      <c r="H136" s="10">
        <f>D136*F136</f>
        <v/>
      </c>
      <c r="I136" s="10">
        <f>G136+H136</f>
        <v/>
      </c>
      <c r="J136" s="9" t="inlineStr"/>
    </row>
    <row r="137">
      <c r="A137" s="8" t="inlineStr">
        <is>
          <t>4.2.1.24</t>
        </is>
      </c>
      <c r="B137" s="9" t="inlineStr">
        <is>
          <t>Монтаж двупольного дверного блока ПВХ 1550×2350 с порогом, 3 петли на створку, замок, ручки, доводчик, сэндвич-панели, наличники, ПВХ-откосы</t>
        </is>
      </c>
      <c r="C137" s="8" t="inlineStr">
        <is>
          <t>шт.</t>
        </is>
      </c>
      <c r="D137" s="10" t="n">
        <v>1</v>
      </c>
      <c r="E137" s="10" t="n">
        <v>14500</v>
      </c>
      <c r="F137" s="10" t="n">
        <v>78000</v>
      </c>
      <c r="G137" s="10">
        <f>D137*E137</f>
        <v/>
      </c>
      <c r="H137" s="10">
        <f>D137*F137</f>
        <v/>
      </c>
      <c r="I137" s="10">
        <f>G137+H137</f>
        <v/>
      </c>
      <c r="J137" s="9" t="inlineStr">
        <is>
          <t>блок ПВХ под заказ</t>
        </is>
      </c>
    </row>
    <row r="138">
      <c r="A138" s="8" t="inlineStr">
        <is>
          <t>4.2.1.25</t>
        </is>
      </c>
      <c r="B138" s="9" t="inlineStr">
        <is>
          <t>Разборка деревянного дверного блока 1020×2061</t>
        </is>
      </c>
      <c r="C138" s="8" t="inlineStr">
        <is>
          <t>шт.</t>
        </is>
      </c>
      <c r="D138" s="10" t="n">
        <v>1</v>
      </c>
      <c r="E138" s="10" t="n">
        <v>2600</v>
      </c>
      <c r="F138" s="10" t="n">
        <v>0</v>
      </c>
      <c r="G138" s="10">
        <f>D138*E138</f>
        <v/>
      </c>
      <c r="H138" s="10">
        <f>D138*F138</f>
        <v/>
      </c>
      <c r="I138" s="10">
        <f>G138+H138</f>
        <v/>
      </c>
      <c r="J138" s="9" t="inlineStr"/>
    </row>
    <row r="139">
      <c r="A139" s="8" t="inlineStr">
        <is>
          <t>4.2.1.26</t>
        </is>
      </c>
      <c r="B139" s="9" t="inlineStr">
        <is>
          <t>Монтаж однопольного дверного блока ПВХ 1020×2061 с порогом, замком, доводчиком, сэндвич-панелями, наличниками, ПВХ-откосами</t>
        </is>
      </c>
      <c r="C139" s="8" t="inlineStr">
        <is>
          <t>шт.</t>
        </is>
      </c>
      <c r="D139" s="10" t="n">
        <v>1</v>
      </c>
      <c r="E139" s="10" t="n">
        <v>9500</v>
      </c>
      <c r="F139" s="10" t="n">
        <v>41000</v>
      </c>
      <c r="G139" s="10">
        <f>D139*E139</f>
        <v/>
      </c>
      <c r="H139" s="10">
        <f>D139*F139</f>
        <v/>
      </c>
      <c r="I139" s="10">
        <f>G139+H139</f>
        <v/>
      </c>
      <c r="J139" s="9" t="inlineStr"/>
    </row>
    <row r="140">
      <c r="A140" s="7" t="inlineStr">
        <is>
          <t>4.2.2. Водоснабжение и канализация</t>
        </is>
      </c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8" t="inlineStr">
        <is>
          <t>4.2.2.1</t>
        </is>
      </c>
      <c r="B141" s="9" t="inlineStr">
        <is>
          <t>Демонтаж металлической трубы Ø3/4"</t>
        </is>
      </c>
      <c r="C141" s="8" t="inlineStr">
        <is>
          <t>м.п.</t>
        </is>
      </c>
      <c r="D141" s="10" t="n">
        <v>3.2</v>
      </c>
      <c r="E141" s="10" t="n">
        <v>420</v>
      </c>
      <c r="F141" s="10" t="n">
        <v>0</v>
      </c>
      <c r="G141" s="10">
        <f>D141*E141</f>
        <v/>
      </c>
      <c r="H141" s="10">
        <f>D141*F141</f>
        <v/>
      </c>
      <c r="I141" s="10">
        <f>G141+H141</f>
        <v/>
      </c>
      <c r="J141" s="9" t="inlineStr"/>
    </row>
    <row r="142">
      <c r="A142" s="8" t="inlineStr">
        <is>
          <t>4.2.2.2</t>
        </is>
      </c>
      <c r="B142" s="9" t="inlineStr">
        <is>
          <t>Демонтаж крана шарового Ø1/2"</t>
        </is>
      </c>
      <c r="C142" s="8" t="inlineStr">
        <is>
          <t>шт.</t>
        </is>
      </c>
      <c r="D142" s="10" t="n">
        <v>3</v>
      </c>
      <c r="E142" s="10" t="n">
        <v>420</v>
      </c>
      <c r="F142" s="10" t="n">
        <v>0</v>
      </c>
      <c r="G142" s="10">
        <f>D142*E142</f>
        <v/>
      </c>
      <c r="H142" s="10">
        <f>D142*F142</f>
        <v/>
      </c>
      <c r="I142" s="10">
        <f>G142+H142</f>
        <v/>
      </c>
      <c r="J142" s="9" t="inlineStr"/>
    </row>
    <row r="143">
      <c r="A143" s="8" t="inlineStr">
        <is>
          <t>4.2.2.3</t>
        </is>
      </c>
      <c r="B143" s="9" t="inlineStr">
        <is>
          <t>Демонтаж трубы ПВХ Ø50</t>
        </is>
      </c>
      <c r="C143" s="8" t="inlineStr">
        <is>
          <t>м.п.</t>
        </is>
      </c>
      <c r="D143" s="10" t="n">
        <v>7</v>
      </c>
      <c r="E143" s="10" t="n">
        <v>260</v>
      </c>
      <c r="F143" s="10" t="n">
        <v>0</v>
      </c>
      <c r="G143" s="10">
        <f>D143*E143</f>
        <v/>
      </c>
      <c r="H143" s="10">
        <f>D143*F143</f>
        <v/>
      </c>
      <c r="I143" s="10">
        <f>G143+H143</f>
        <v/>
      </c>
      <c r="J143" s="9" t="inlineStr"/>
    </row>
    <row r="144">
      <c r="A144" s="8" t="inlineStr">
        <is>
          <t>4.2.2.4</t>
        </is>
      </c>
      <c r="B144" s="9" t="inlineStr">
        <is>
          <t>Демонтаж трубы МП Ø16</t>
        </is>
      </c>
      <c r="C144" s="8" t="inlineStr">
        <is>
          <t>м.п.</t>
        </is>
      </c>
      <c r="D144" s="10" t="n">
        <v>16</v>
      </c>
      <c r="E144" s="10" t="n">
        <v>160</v>
      </c>
      <c r="F144" s="10" t="n">
        <v>0</v>
      </c>
      <c r="G144" s="10">
        <f>D144*E144</f>
        <v/>
      </c>
      <c r="H144" s="10">
        <f>D144*F144</f>
        <v/>
      </c>
      <c r="I144" s="10">
        <f>G144+H144</f>
        <v/>
      </c>
      <c r="J144" s="9" t="inlineStr"/>
    </row>
    <row r="145">
      <c r="A145" s="8" t="inlineStr">
        <is>
          <t>4.2.2.5</t>
        </is>
      </c>
      <c r="B145" s="9" t="inlineStr">
        <is>
          <t>Демонтаж трубы Ø100</t>
        </is>
      </c>
      <c r="C145" s="8" t="inlineStr">
        <is>
          <t>шт.</t>
        </is>
      </c>
      <c r="D145" s="10" t="n">
        <v>1</v>
      </c>
      <c r="E145" s="10" t="n">
        <v>850</v>
      </c>
      <c r="F145" s="10" t="n">
        <v>0</v>
      </c>
      <c r="G145" s="10">
        <f>D145*E145</f>
        <v/>
      </c>
      <c r="H145" s="10">
        <f>D145*F145</f>
        <v/>
      </c>
      <c r="I145" s="10">
        <f>G145+H145</f>
        <v/>
      </c>
      <c r="J145" s="9" t="inlineStr"/>
    </row>
    <row r="146">
      <c r="A146" s="8" t="inlineStr">
        <is>
          <t>4.2.2.6</t>
        </is>
      </c>
      <c r="B146" s="9" t="inlineStr">
        <is>
          <t>Монтаж комбинированной муфты вн. резьба 20×1/2"</t>
        </is>
      </c>
      <c r="C146" s="8" t="inlineStr">
        <is>
          <t>шт.</t>
        </is>
      </c>
      <c r="D146" s="10" t="n">
        <v>2</v>
      </c>
      <c r="E146" s="10" t="n">
        <v>520</v>
      </c>
      <c r="F146" s="10" t="n">
        <v>260</v>
      </c>
      <c r="G146" s="10">
        <f>D146*E146</f>
        <v/>
      </c>
      <c r="H146" s="10">
        <f>D146*F146</f>
        <v/>
      </c>
      <c r="I146" s="10">
        <f>G146+H146</f>
        <v/>
      </c>
      <c r="J146" s="9" t="inlineStr"/>
    </row>
    <row r="147">
      <c r="A147" s="8" t="inlineStr">
        <is>
          <t>4.2.2.7</t>
        </is>
      </c>
      <c r="B147" s="9" t="inlineStr">
        <is>
          <t>Монтаж крана шарового ПП Ø20</t>
        </is>
      </c>
      <c r="C147" s="8" t="inlineStr">
        <is>
          <t>шт.</t>
        </is>
      </c>
      <c r="D147" s="10" t="n">
        <v>2</v>
      </c>
      <c r="E147" s="10" t="n">
        <v>720</v>
      </c>
      <c r="F147" s="10" t="n">
        <v>620</v>
      </c>
      <c r="G147" s="10">
        <f>D147*E147</f>
        <v/>
      </c>
      <c r="H147" s="10">
        <f>D147*F147</f>
        <v/>
      </c>
      <c r="I147" s="10">
        <f>G147+H147</f>
        <v/>
      </c>
      <c r="J147" s="9" t="inlineStr"/>
    </row>
    <row r="148">
      <c r="A148" s="8" t="inlineStr">
        <is>
          <t>4.2.2.8</t>
        </is>
      </c>
      <c r="B148" s="9" t="inlineStr">
        <is>
          <t>Монтаж трубы ПП Ø20</t>
        </is>
      </c>
      <c r="C148" s="8" t="inlineStr">
        <is>
          <t>м.п.</t>
        </is>
      </c>
      <c r="D148" s="10" t="n">
        <v>6</v>
      </c>
      <c r="E148" s="10" t="n">
        <v>520</v>
      </c>
      <c r="F148" s="10" t="n">
        <v>130</v>
      </c>
      <c r="G148" s="10">
        <f>D148*E148</f>
        <v/>
      </c>
      <c r="H148" s="10">
        <f>D148*F148</f>
        <v/>
      </c>
      <c r="I148" s="10">
        <f>G148+H148</f>
        <v/>
      </c>
      <c r="J148" s="9" t="inlineStr"/>
    </row>
    <row r="149">
      <c r="A149" s="8" t="inlineStr">
        <is>
          <t>4.2.2.9</t>
        </is>
      </c>
      <c r="B149" s="9" t="inlineStr">
        <is>
          <t>Монтаж тройника ПП Ø20/20/20</t>
        </is>
      </c>
      <c r="C149" s="8" t="inlineStr">
        <is>
          <t>шт.</t>
        </is>
      </c>
      <c r="D149" s="10" t="n">
        <v>2</v>
      </c>
      <c r="E149" s="10" t="n">
        <v>420</v>
      </c>
      <c r="F149" s="10" t="n">
        <v>45</v>
      </c>
      <c r="G149" s="10">
        <f>D149*E149</f>
        <v/>
      </c>
      <c r="H149" s="10">
        <f>D149*F149</f>
        <v/>
      </c>
      <c r="I149" s="10">
        <f>G149+H149</f>
        <v/>
      </c>
      <c r="J149" s="9" t="inlineStr"/>
    </row>
    <row r="150">
      <c r="A150" s="8" t="inlineStr">
        <is>
          <t>4.2.2.10</t>
        </is>
      </c>
      <c r="B150" s="9" t="inlineStr">
        <is>
          <t>Монтаж отвода ПП 90° Ø20</t>
        </is>
      </c>
      <c r="C150" s="8" t="inlineStr">
        <is>
          <t>шт.</t>
        </is>
      </c>
      <c r="D150" s="10" t="n">
        <v>6</v>
      </c>
      <c r="E150" s="10" t="n">
        <v>360</v>
      </c>
      <c r="F150" s="10" t="n">
        <v>35</v>
      </c>
      <c r="G150" s="10">
        <f>D150*E150</f>
        <v/>
      </c>
      <c r="H150" s="10">
        <f>D150*F150</f>
        <v/>
      </c>
      <c r="I150" s="10">
        <f>G150+H150</f>
        <v/>
      </c>
      <c r="J150" s="9" t="inlineStr"/>
    </row>
    <row r="151">
      <c r="A151" s="8" t="inlineStr">
        <is>
          <t>4.2.2.11</t>
        </is>
      </c>
      <c r="B151" s="9" t="inlineStr">
        <is>
          <t>Монтаж комбинированной муфты вн. резьба 20×1/2" (дублирует п.4.2.2.6 — уточнить)</t>
        </is>
      </c>
      <c r="C151" s="8" t="inlineStr">
        <is>
          <t>шт.</t>
        </is>
      </c>
      <c r="D151" s="10" t="n">
        <v>2</v>
      </c>
      <c r="E151" s="10" t="n">
        <v>520</v>
      </c>
      <c r="F151" s="10" t="n">
        <v>260</v>
      </c>
      <c r="G151" s="10">
        <f>D151*E151</f>
        <v/>
      </c>
      <c r="H151" s="10">
        <f>D151*F151</f>
        <v/>
      </c>
      <c r="I151" s="10">
        <f>G151+H151</f>
        <v/>
      </c>
      <c r="J151" s="9" t="inlineStr"/>
    </row>
    <row r="152">
      <c r="A152" s="7" t="inlineStr">
        <is>
          <t>4.2.3. Прочее</t>
        </is>
      </c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8" t="inlineStr">
        <is>
          <t>4.2.3.1</t>
        </is>
      </c>
      <c r="B153" s="9" t="inlineStr">
        <is>
          <t>Заделка отверстия Ø50</t>
        </is>
      </c>
      <c r="C153" s="8" t="inlineStr">
        <is>
          <t>шт.</t>
        </is>
      </c>
      <c r="D153" s="10" t="n">
        <v>1</v>
      </c>
      <c r="E153" s="10" t="n">
        <v>1250</v>
      </c>
      <c r="F153" s="10" t="n">
        <v>220</v>
      </c>
      <c r="G153" s="10">
        <f>D153*E153</f>
        <v/>
      </c>
      <c r="H153" s="10">
        <f>D153*F153</f>
        <v/>
      </c>
      <c r="I153" s="10">
        <f>G153+H153</f>
        <v/>
      </c>
      <c r="J153" s="9" t="inlineStr"/>
    </row>
    <row r="154">
      <c r="A154" s="8" t="inlineStr">
        <is>
          <t>4.2.3.2</t>
        </is>
      </c>
      <c r="B154" s="9" t="inlineStr">
        <is>
          <t>Заделка отверстия Ø100</t>
        </is>
      </c>
      <c r="C154" s="8" t="inlineStr">
        <is>
          <t>шт.</t>
        </is>
      </c>
      <c r="D154" s="10" t="n">
        <v>1</v>
      </c>
      <c r="E154" s="10" t="n">
        <v>1850</v>
      </c>
      <c r="F154" s="10" t="n">
        <v>320</v>
      </c>
      <c r="G154" s="10">
        <f>D154*E154</f>
        <v/>
      </c>
      <c r="H154" s="10">
        <f>D154*F154</f>
        <v/>
      </c>
      <c r="I154" s="10">
        <f>G154+H154</f>
        <v/>
      </c>
      <c r="J154" s="9" t="inlineStr"/>
    </row>
    <row r="155">
      <c r="A155" s="8" t="inlineStr">
        <is>
          <t>4.2.3.3</t>
        </is>
      </c>
      <c r="B155" s="9" t="inlineStr">
        <is>
          <t>Демонтаж/монтаж трубы ПП Ø32 с креплением</t>
        </is>
      </c>
      <c r="C155" s="8" t="inlineStr">
        <is>
          <t>м.п.</t>
        </is>
      </c>
      <c r="D155" s="10" t="n">
        <v>8</v>
      </c>
      <c r="E155" s="10" t="n">
        <v>680</v>
      </c>
      <c r="F155" s="10" t="n">
        <v>90</v>
      </c>
      <c r="G155" s="10">
        <f>D155*E155</f>
        <v/>
      </c>
      <c r="H155" s="10">
        <f>D155*F155</f>
        <v/>
      </c>
      <c r="I155" s="10">
        <f>G155+H155</f>
        <v/>
      </c>
      <c r="J155" s="9" t="inlineStr"/>
    </row>
    <row r="156">
      <c r="A156" s="7" t="inlineStr">
        <is>
          <t>4.2.4. Электроснабжение</t>
        </is>
      </c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8" t="inlineStr">
        <is>
          <t>4.2.4.1</t>
        </is>
      </c>
      <c r="B157" s="9" t="inlineStr">
        <is>
          <t>Демонтаж светильников 600×600</t>
        </is>
      </c>
      <c r="C157" s="8" t="inlineStr">
        <is>
          <t>шт.</t>
        </is>
      </c>
      <c r="D157" s="10" t="n">
        <v>2</v>
      </c>
      <c r="E157" s="10" t="n">
        <v>420</v>
      </c>
      <c r="F157" s="10" t="n">
        <v>0</v>
      </c>
      <c r="G157" s="10">
        <f>D157*E157</f>
        <v/>
      </c>
      <c r="H157" s="10">
        <f>D157*F157</f>
        <v/>
      </c>
      <c r="I157" s="10">
        <f>G157+H157</f>
        <v/>
      </c>
      <c r="J157" s="9" t="inlineStr"/>
    </row>
    <row r="158">
      <c r="A158" s="8" t="inlineStr">
        <is>
          <t>4.2.4.2</t>
        </is>
      </c>
      <c r="B158" s="9" t="inlineStr">
        <is>
          <t>Монтаж светодиодных потолочных светильников 600×600 40Вт 4800 Лм 5000К, опал</t>
        </is>
      </c>
      <c r="C158" s="8" t="inlineStr">
        <is>
          <t>шт.</t>
        </is>
      </c>
      <c r="D158" s="10" t="n">
        <v>3</v>
      </c>
      <c r="E158" s="10" t="n">
        <v>1250</v>
      </c>
      <c r="F158" s="10" t="n">
        <v>2900</v>
      </c>
      <c r="G158" s="10">
        <f>D158*E158</f>
        <v/>
      </c>
      <c r="H158" s="10">
        <f>D158*F158</f>
        <v/>
      </c>
      <c r="I158" s="10">
        <f>G158+H158</f>
        <v/>
      </c>
      <c r="J158" s="9" t="inlineStr"/>
    </row>
    <row r="159">
      <c r="A159" s="8" t="inlineStr">
        <is>
          <t>4.2.4.3</t>
        </is>
      </c>
      <c r="B159" s="9" t="inlineStr">
        <is>
          <t>Демонтаж гофротрубы Ø25 с кабелем и укладкой кабеля в кабель-канал IEK 100×50</t>
        </is>
      </c>
      <c r="C159" s="8" t="inlineStr">
        <is>
          <t>м.п.</t>
        </is>
      </c>
      <c r="D159" s="10" t="n">
        <v>42</v>
      </c>
      <c r="E159" s="10" t="n">
        <v>260</v>
      </c>
      <c r="F159" s="10" t="n">
        <v>0</v>
      </c>
      <c r="G159" s="10">
        <f>D159*E159</f>
        <v/>
      </c>
      <c r="H159" s="10">
        <f>D159*F159</f>
        <v/>
      </c>
      <c r="I159" s="10">
        <f>G159+H159</f>
        <v/>
      </c>
      <c r="J159" s="9" t="inlineStr"/>
    </row>
    <row r="160">
      <c r="A160" s="8" t="inlineStr">
        <is>
          <t>4.2.4.4</t>
        </is>
      </c>
      <c r="B160" s="9" t="inlineStr">
        <is>
          <t>Монтаж кабель-канала IEK 100×50</t>
        </is>
      </c>
      <c r="C160" s="8" t="inlineStr">
        <is>
          <t>м.п.</t>
        </is>
      </c>
      <c r="D160" s="10" t="n">
        <v>16</v>
      </c>
      <c r="E160" s="10" t="n">
        <v>470</v>
      </c>
      <c r="F160" s="10" t="n">
        <v>680</v>
      </c>
      <c r="G160" s="10">
        <f>D160*E160</f>
        <v/>
      </c>
      <c r="H160" s="10">
        <f>D160*F160</f>
        <v/>
      </c>
      <c r="I160" s="10">
        <f>G160+H160</f>
        <v/>
      </c>
      <c r="J160" s="9" t="inlineStr"/>
    </row>
    <row r="161">
      <c r="A161" s="8" t="inlineStr">
        <is>
          <t>4.2.4.5</t>
        </is>
      </c>
      <c r="B161" s="9" t="inlineStr">
        <is>
          <t>Монтаж внутреннего угла 90° кабель-канала IEK 100×50</t>
        </is>
      </c>
      <c r="C161" s="8" t="inlineStr">
        <is>
          <t>шт.</t>
        </is>
      </c>
      <c r="D161" s="10" t="n">
        <v>4</v>
      </c>
      <c r="E161" s="10" t="n">
        <v>260</v>
      </c>
      <c r="F161" s="10" t="n">
        <v>320</v>
      </c>
      <c r="G161" s="10">
        <f>D161*E161</f>
        <v/>
      </c>
      <c r="H161" s="10">
        <f>D161*F161</f>
        <v/>
      </c>
      <c r="I161" s="10">
        <f>G161+H161</f>
        <v/>
      </c>
      <c r="J161" s="9" t="inlineStr"/>
    </row>
    <row r="162">
      <c r="A162" s="8" t="inlineStr">
        <is>
          <t>4.2.4.6</t>
        </is>
      </c>
      <c r="B162" s="9" t="inlineStr">
        <is>
          <t>Монтаж внешнего угла 90° кабель-канала IEK 100×50</t>
        </is>
      </c>
      <c r="C162" s="8" t="inlineStr">
        <is>
          <t>шт.</t>
        </is>
      </c>
      <c r="D162" s="10" t="n">
        <v>1</v>
      </c>
      <c r="E162" s="10" t="n">
        <v>260</v>
      </c>
      <c r="F162" s="10" t="n">
        <v>320</v>
      </c>
      <c r="G162" s="10">
        <f>D162*E162</f>
        <v/>
      </c>
      <c r="H162" s="10">
        <f>D162*F162</f>
        <v/>
      </c>
      <c r="I162" s="10">
        <f>G162+H162</f>
        <v/>
      </c>
      <c r="J162" s="9" t="inlineStr"/>
    </row>
    <row r="163">
      <c r="A163" s="8" t="inlineStr">
        <is>
          <t>4.2.4.7</t>
        </is>
      </c>
      <c r="B163" s="9" t="inlineStr">
        <is>
          <t>Монтаж заглушки кабель-канала IEK 100×50</t>
        </is>
      </c>
      <c r="C163" s="8" t="inlineStr">
        <is>
          <t>шт.</t>
        </is>
      </c>
      <c r="D163" s="10" t="n">
        <v>2</v>
      </c>
      <c r="E163" s="10" t="n">
        <v>160</v>
      </c>
      <c r="F163" s="10" t="n">
        <v>130</v>
      </c>
      <c r="G163" s="10">
        <f>D163*E163</f>
        <v/>
      </c>
      <c r="H163" s="10">
        <f>D163*F163</f>
        <v/>
      </c>
      <c r="I163" s="10">
        <f>G163+H163</f>
        <v/>
      </c>
      <c r="J163" s="9" t="inlineStr"/>
    </row>
    <row r="164">
      <c r="A164" s="8" t="inlineStr">
        <is>
          <t>4.2.4.8</t>
        </is>
      </c>
      <c r="B164" s="9" t="inlineStr">
        <is>
          <t>Демонтаж/монтаж б/у кабель-канала 100×50</t>
        </is>
      </c>
      <c r="C164" s="8" t="inlineStr">
        <is>
          <t>м.п.</t>
        </is>
      </c>
      <c r="D164" s="10" t="n">
        <v>1.3</v>
      </c>
      <c r="E164" s="10" t="n">
        <v>420</v>
      </c>
      <c r="F164" s="10" t="n">
        <v>0</v>
      </c>
      <c r="G164" s="10">
        <f>D164*E164</f>
        <v/>
      </c>
      <c r="H164" s="10">
        <f>D164*F164</f>
        <v/>
      </c>
      <c r="I164" s="10">
        <f>G164+H164</f>
        <v/>
      </c>
      <c r="J164" s="9" t="inlineStr"/>
    </row>
    <row r="165">
      <c r="A165" s="8" t="inlineStr">
        <is>
          <t>4.2.4.9</t>
        </is>
      </c>
      <c r="B165" s="9" t="inlineStr">
        <is>
          <t>Демонтаж/монтаж б/у кабель-канала 15×18</t>
        </is>
      </c>
      <c r="C165" s="8" t="inlineStr">
        <is>
          <t>м.п.</t>
        </is>
      </c>
      <c r="D165" s="10" t="n">
        <v>17</v>
      </c>
      <c r="E165" s="10" t="n">
        <v>160</v>
      </c>
      <c r="F165" s="10" t="n">
        <v>20</v>
      </c>
      <c r="G165" s="10">
        <f>D165*E165</f>
        <v/>
      </c>
      <c r="H165" s="10">
        <f>D165*F165</f>
        <v/>
      </c>
      <c r="I165" s="10">
        <f>G165+H165</f>
        <v/>
      </c>
      <c r="J165" s="9" t="inlineStr"/>
    </row>
    <row r="166">
      <c r="A166" s="8" t="inlineStr">
        <is>
          <t>4.2.4.10</t>
        </is>
      </c>
      <c r="B166" s="9" t="inlineStr">
        <is>
          <t>Демонтаж/монтаж б/у распаечной коробки</t>
        </is>
      </c>
      <c r="C166" s="8" t="inlineStr">
        <is>
          <t>шт.</t>
        </is>
      </c>
      <c r="D166" s="10" t="n">
        <v>3</v>
      </c>
      <c r="E166" s="10" t="n">
        <v>520</v>
      </c>
      <c r="F166" s="10" t="n">
        <v>0</v>
      </c>
      <c r="G166" s="10">
        <f>D166*E166</f>
        <v/>
      </c>
      <c r="H166" s="10">
        <f>D166*F166</f>
        <v/>
      </c>
      <c r="I166" s="10">
        <f>G166+H166</f>
        <v/>
      </c>
      <c r="J166" s="9" t="inlineStr"/>
    </row>
    <row r="167">
      <c r="A167" s="8" t="inlineStr">
        <is>
          <t>4.2.4.11</t>
        </is>
      </c>
      <c r="B167" s="9" t="inlineStr">
        <is>
          <t>Демонтаж/монтаж б/у выключателя 1-клавишного</t>
        </is>
      </c>
      <c r="C167" s="8" t="inlineStr">
        <is>
          <t>шт.</t>
        </is>
      </c>
      <c r="D167" s="10" t="n">
        <v>4</v>
      </c>
      <c r="E167" s="10" t="n">
        <v>420</v>
      </c>
      <c r="F167" s="10" t="n">
        <v>0</v>
      </c>
      <c r="G167" s="10">
        <f>D167*E167</f>
        <v/>
      </c>
      <c r="H167" s="10">
        <f>D167*F167</f>
        <v/>
      </c>
      <c r="I167" s="10">
        <f>G167+H167</f>
        <v/>
      </c>
      <c r="J167" s="9" t="inlineStr"/>
    </row>
    <row r="168">
      <c r="A168" s="8" t="inlineStr">
        <is>
          <t>4.2.4.12</t>
        </is>
      </c>
      <c r="B168" s="9" t="inlineStr">
        <is>
          <t>Демонтаж/монтаж б/у розетки 220В</t>
        </is>
      </c>
      <c r="C168" s="8" t="inlineStr">
        <is>
          <t>шт.</t>
        </is>
      </c>
      <c r="D168" s="10" t="n">
        <v>1</v>
      </c>
      <c r="E168" s="10" t="n">
        <v>420</v>
      </c>
      <c r="F168" s="10" t="n">
        <v>0</v>
      </c>
      <c r="G168" s="10">
        <f>D168*E168</f>
        <v/>
      </c>
      <c r="H168" s="10">
        <f>D168*F168</f>
        <v/>
      </c>
      <c r="I168" s="10">
        <f>G168+H168</f>
        <v/>
      </c>
      <c r="J168" s="9" t="inlineStr"/>
    </row>
    <row r="169">
      <c r="A169" s="8" t="inlineStr">
        <is>
          <t>4.2.4.13</t>
        </is>
      </c>
      <c r="B169" s="9" t="inlineStr">
        <is>
          <t>Демонтаж/монтаж б/у бокса на 2 автоматических выключателя</t>
        </is>
      </c>
      <c r="C169" s="8" t="inlineStr">
        <is>
          <t>шт.</t>
        </is>
      </c>
      <c r="D169" s="10" t="n">
        <v>1</v>
      </c>
      <c r="E169" s="10" t="n">
        <v>1550</v>
      </c>
      <c r="F169" s="10" t="n">
        <v>0</v>
      </c>
      <c r="G169" s="10">
        <f>D169*E169</f>
        <v/>
      </c>
      <c r="H169" s="10">
        <f>D169*F169</f>
        <v/>
      </c>
      <c r="I169" s="10">
        <f>G169+H169</f>
        <v/>
      </c>
      <c r="J169" s="9" t="inlineStr"/>
    </row>
    <row r="170">
      <c r="A170" s="7" t="inlineStr">
        <is>
          <t>4.2.5. АПС</t>
        </is>
      </c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8" t="inlineStr">
        <is>
          <t>4.2.5.1</t>
        </is>
      </c>
      <c r="B171" s="9" t="inlineStr">
        <is>
          <t>Демонтаж/монтаж б/у кабель-канала 20×20</t>
        </is>
      </c>
      <c r="C171" s="8" t="inlineStr">
        <is>
          <t>м.п.</t>
        </is>
      </c>
      <c r="D171" s="10" t="n">
        <v>17</v>
      </c>
      <c r="E171" s="10" t="n">
        <v>160</v>
      </c>
      <c r="F171" s="10" t="n">
        <v>20</v>
      </c>
      <c r="G171" s="10">
        <f>D171*E171</f>
        <v/>
      </c>
      <c r="H171" s="10">
        <f>D171*F171</f>
        <v/>
      </c>
      <c r="I171" s="10">
        <f>G171+H171</f>
        <v/>
      </c>
      <c r="J171" s="9" t="inlineStr"/>
    </row>
    <row r="172">
      <c r="A172" s="8" t="inlineStr">
        <is>
          <t>4.2.5.2</t>
        </is>
      </c>
      <c r="B172" s="9" t="inlineStr">
        <is>
          <t>Демонтаж/монтаж б/у кабель-канала 20×40</t>
        </is>
      </c>
      <c r="C172" s="8" t="inlineStr">
        <is>
          <t>м.п.</t>
        </is>
      </c>
      <c r="D172" s="10" t="n">
        <v>3</v>
      </c>
      <c r="E172" s="10" t="n">
        <v>190</v>
      </c>
      <c r="F172" s="10" t="n">
        <v>20</v>
      </c>
      <c r="G172" s="10">
        <f>D172*E172</f>
        <v/>
      </c>
      <c r="H172" s="10">
        <f>D172*F172</f>
        <v/>
      </c>
      <c r="I172" s="10">
        <f>G172+H172</f>
        <v/>
      </c>
      <c r="J172" s="9" t="inlineStr"/>
    </row>
    <row r="173">
      <c r="A173" s="8" t="inlineStr">
        <is>
          <t>4.2.5.3</t>
        </is>
      </c>
      <c r="B173" s="9" t="inlineStr">
        <is>
          <t>Демонтаж/монтаж б/у датчика пожарного ДИП-34А</t>
        </is>
      </c>
      <c r="C173" s="8" t="inlineStr">
        <is>
          <t>шт.</t>
        </is>
      </c>
      <c r="D173" s="10" t="n">
        <v>2</v>
      </c>
      <c r="E173" s="10" t="n">
        <v>850</v>
      </c>
      <c r="F173" s="10" t="n">
        <v>0</v>
      </c>
      <c r="G173" s="10">
        <f>D173*E173</f>
        <v/>
      </c>
      <c r="H173" s="10">
        <f>D173*F173</f>
        <v/>
      </c>
      <c r="I173" s="10">
        <f>G173+H173</f>
        <v/>
      </c>
      <c r="J173" s="9" t="inlineStr">
        <is>
          <t>отключение АПС согласовать</t>
        </is>
      </c>
    </row>
    <row r="174">
      <c r="A174" s="8" t="inlineStr">
        <is>
          <t>4.2.5.4</t>
        </is>
      </c>
      <c r="B174" s="9" t="inlineStr">
        <is>
          <t>Демонтаж/монтаж б/у кабеля КПСЭнг-FRLS 2×2,75</t>
        </is>
      </c>
      <c r="C174" s="8" t="inlineStr">
        <is>
          <t>м.п.</t>
        </is>
      </c>
      <c r="D174" s="10" t="n">
        <v>40</v>
      </c>
      <c r="E174" s="10" t="n">
        <v>125</v>
      </c>
      <c r="F174" s="10" t="n">
        <v>15</v>
      </c>
      <c r="G174" s="10">
        <f>D174*E174</f>
        <v/>
      </c>
      <c r="H174" s="10">
        <f>D174*F174</f>
        <v/>
      </c>
      <c r="I174" s="10">
        <f>G174+H174</f>
        <v/>
      </c>
      <c r="J174" s="9" t="inlineStr"/>
    </row>
    <row r="175">
      <c r="A175" s="5" t="inlineStr">
        <is>
          <t>ЗАТРАТЫ ПО ТРЕБОВАНИЯМ ТЗ (раздел 5–6)</t>
        </is>
      </c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7" t="inlineStr">
        <is>
          <t>Сопутствующие работы, обязательные по ТЗ</t>
        </is>
      </c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8" t="inlineStr">
        <is>
          <t>5.2</t>
        </is>
      </c>
      <c r="B177" s="9" t="inlineStr">
        <is>
          <t>Разработка ППР и ПОБ, согласование с АО «СМЗ»</t>
        </is>
      </c>
      <c r="C177" s="8" t="inlineStr">
        <is>
          <t>компл.</t>
        </is>
      </c>
      <c r="D177" s="10" t="n">
        <v>1</v>
      </c>
      <c r="E177" s="10" t="n">
        <v>28000</v>
      </c>
      <c r="F177" s="10" t="n">
        <v>0</v>
      </c>
      <c r="G177" s="10">
        <f>D177*E177</f>
        <v/>
      </c>
      <c r="H177" s="10">
        <f>D177*F177</f>
        <v/>
      </c>
      <c r="I177" s="10">
        <f>G177+H177</f>
        <v/>
      </c>
      <c r="J177" s="9" t="inlineStr">
        <is>
          <t>п.5.2, 5.8</t>
        </is>
      </c>
    </row>
    <row r="178">
      <c r="A178" s="8" t="inlineStr">
        <is>
          <t>5.10</t>
        </is>
      </c>
      <c r="B178" s="9" t="inlineStr">
        <is>
          <t>Исполнительная документация (акты скрытых работ, сертификаты, паспорта), 2 экз.</t>
        </is>
      </c>
      <c r="C178" s="8" t="inlineStr">
        <is>
          <t>компл.</t>
        </is>
      </c>
      <c r="D178" s="10" t="n">
        <v>1</v>
      </c>
      <c r="E178" s="10" t="n">
        <v>18000</v>
      </c>
      <c r="F178" s="10" t="n">
        <v>0</v>
      </c>
      <c r="G178" s="10">
        <f>D178*E178</f>
        <v/>
      </c>
      <c r="H178" s="10">
        <f>D178*F178</f>
        <v/>
      </c>
      <c r="I178" s="10">
        <f>G178+H178</f>
        <v/>
      </c>
      <c r="J178" s="9" t="inlineStr">
        <is>
          <t>п.5.10, 5.15</t>
        </is>
      </c>
    </row>
    <row r="179">
      <c r="A179" s="8" t="inlineStr">
        <is>
          <t>5.16</t>
        </is>
      </c>
      <c r="B179" s="9" t="inlineStr">
        <is>
          <t>Электроизмерения: сопротивление изоляции, металлосвязь, ПСИ, протоколы</t>
        </is>
      </c>
      <c r="C179" s="8" t="inlineStr">
        <is>
          <t>компл.</t>
        </is>
      </c>
      <c r="D179" s="10" t="n">
        <v>1</v>
      </c>
      <c r="E179" s="10" t="n">
        <v>14000</v>
      </c>
      <c r="F179" s="10" t="n">
        <v>0</v>
      </c>
      <c r="G179" s="10">
        <f>D179*E179</f>
        <v/>
      </c>
      <c r="H179" s="10">
        <f>D179*F179</f>
        <v/>
      </c>
      <c r="I179" s="10">
        <f>G179+H179</f>
        <v/>
      </c>
      <c r="J179" s="9" t="inlineStr">
        <is>
          <t>п.5.16</t>
        </is>
      </c>
    </row>
    <row r="180">
      <c r="A180" s="8" t="inlineStr">
        <is>
          <t>5.11</t>
        </is>
      </c>
      <c r="B180" s="9" t="inlineStr">
        <is>
          <t>Сортировка лома (алюминий, чёрный металл), сдача на баланс завода</t>
        </is>
      </c>
      <c r="C180" s="8" t="inlineStr">
        <is>
          <t>компл.</t>
        </is>
      </c>
      <c r="D180" s="10" t="n">
        <v>1</v>
      </c>
      <c r="E180" s="10" t="n">
        <v>6000</v>
      </c>
      <c r="F180" s="10" t="n">
        <v>0</v>
      </c>
      <c r="G180" s="10">
        <f>D180*E180</f>
        <v/>
      </c>
      <c r="H180" s="10">
        <f>D180*F180</f>
        <v/>
      </c>
      <c r="I180" s="10">
        <f>G180+H180</f>
        <v/>
      </c>
      <c r="J180" s="9" t="inlineStr">
        <is>
          <t>п.5.11–5.12</t>
        </is>
      </c>
    </row>
    <row r="181">
      <c r="A181" s="8" t="inlineStr">
        <is>
          <t>5.13а</t>
        </is>
      </c>
      <c r="B181" s="9" t="inlineStr">
        <is>
          <t>Погрузка и вынос строительного мусора вручную со 2 этажа (~9 т)</t>
        </is>
      </c>
      <c r="C181" s="8" t="inlineStr">
        <is>
          <t>т</t>
        </is>
      </c>
      <c r="D181" s="10" t="n">
        <v>9</v>
      </c>
      <c r="E181" s="10" t="n">
        <v>2200</v>
      </c>
      <c r="F181" s="10" t="n">
        <v>0</v>
      </c>
      <c r="G181" s="10">
        <f>D181*E181</f>
        <v/>
      </c>
      <c r="H181" s="10">
        <f>D181*F181</f>
        <v/>
      </c>
      <c r="I181" s="10">
        <f>G181+H181</f>
        <v/>
      </c>
      <c r="J181" s="9" t="inlineStr">
        <is>
          <t>плитка, стяжка, штукатурка</t>
        </is>
      </c>
    </row>
    <row r="182">
      <c r="A182" s="8" t="inlineStr">
        <is>
          <t>5.13б</t>
        </is>
      </c>
      <c r="B182" s="9" t="inlineStr">
        <is>
          <t>Вывоз и утилизация мусора на полигоне (контейнер 8 м³)</t>
        </is>
      </c>
      <c r="C182" s="8" t="inlineStr">
        <is>
          <t>рейс</t>
        </is>
      </c>
      <c r="D182" s="10" t="n">
        <v>2</v>
      </c>
      <c r="E182" s="10" t="n">
        <v>0</v>
      </c>
      <c r="F182" s="10" t="n">
        <v>16000</v>
      </c>
      <c r="G182" s="10">
        <f>D182*E182</f>
        <v/>
      </c>
      <c r="H182" s="10">
        <f>D182*F182</f>
        <v/>
      </c>
      <c r="I182" s="10">
        <f>G182+H182</f>
        <v/>
      </c>
      <c r="J182" s="9" t="inlineStr">
        <is>
          <t>п.5.13</t>
        </is>
      </c>
    </row>
    <row r="183">
      <c r="A183" s="8" t="inlineStr">
        <is>
          <t>5.9</t>
        </is>
      </c>
      <c r="B183" s="9" t="inlineStr">
        <is>
          <t>Ежедневная уборка путей выноса и финальная влажная уборка помещений</t>
        </is>
      </c>
      <c r="C183" s="8" t="inlineStr">
        <is>
          <t>компл.</t>
        </is>
      </c>
      <c r="D183" s="10" t="n">
        <v>1</v>
      </c>
      <c r="E183" s="10" t="n">
        <v>16000</v>
      </c>
      <c r="F183" s="10" t="n">
        <v>0</v>
      </c>
      <c r="G183" s="10">
        <f>D183*E183</f>
        <v/>
      </c>
      <c r="H183" s="10">
        <f>D183*F183</f>
        <v/>
      </c>
      <c r="I183" s="10">
        <f>G183+H183</f>
        <v/>
      </c>
      <c r="J183" s="9" t="inlineStr">
        <is>
          <t>п.5.9, 5.10</t>
        </is>
      </c>
    </row>
    <row r="184">
      <c r="A184" s="8" t="inlineStr">
        <is>
          <t>6</t>
        </is>
      </c>
      <c r="B184" s="9" t="inlineStr">
        <is>
          <t>СИЗ (каски синего цвета), инструмент с УЗО, наряды-допуски</t>
        </is>
      </c>
      <c r="C184" s="8" t="inlineStr">
        <is>
          <t>компл.</t>
        </is>
      </c>
      <c r="D184" s="10" t="n">
        <v>1</v>
      </c>
      <c r="E184" s="10" t="n">
        <v>8000</v>
      </c>
      <c r="F184" s="10" t="n">
        <v>6000</v>
      </c>
      <c r="G184" s="10">
        <f>D184*E184</f>
        <v/>
      </c>
      <c r="H184" s="10">
        <f>D184*F184</f>
        <v/>
      </c>
      <c r="I184" s="10">
        <f>G184+H184</f>
        <v/>
      </c>
      <c r="J184" s="9" t="inlineStr">
        <is>
          <t>раздел 6</t>
        </is>
      </c>
    </row>
    <row r="186">
      <c r="A186" s="11" t="inlineStr">
        <is>
          <t>Итого прямые затраты</t>
        </is>
      </c>
      <c r="B186" s="6" t="n"/>
      <c r="C186" s="6" t="n"/>
      <c r="D186" s="6" t="n"/>
      <c r="E186" s="6" t="n"/>
      <c r="F186" s="6" t="n"/>
      <c r="G186" s="12">
        <f>SUM(G7:G184)</f>
        <v/>
      </c>
      <c r="H186" s="12">
        <f>SUM(H7:H184)</f>
        <v/>
      </c>
      <c r="I186" s="12">
        <f>G186+H186</f>
        <v/>
      </c>
      <c r="J186" s="6" t="n"/>
    </row>
    <row r="187">
      <c r="A187" s="13" t="inlineStr">
        <is>
          <t>Транспортно-заготовительные расходы, 4% от материалов</t>
        </is>
      </c>
      <c r="B187" s="6" t="n"/>
      <c r="C187" s="6" t="n"/>
      <c r="D187" s="6" t="n"/>
      <c r="E187" s="6" t="n"/>
      <c r="F187" s="6" t="n"/>
      <c r="G187" s="14" t="n"/>
      <c r="H187" s="14">
        <f>H186*0.04</f>
        <v/>
      </c>
      <c r="I187" s="14">
        <f>H187</f>
        <v/>
      </c>
      <c r="J187" s="6" t="n"/>
    </row>
    <row r="188">
      <c r="A188" s="13" t="inlineStr">
        <is>
          <t>Накладные расходы, 12% от стоимости работ</t>
        </is>
      </c>
      <c r="B188" s="6" t="n"/>
      <c r="C188" s="6" t="n"/>
      <c r="D188" s="6" t="n"/>
      <c r="E188" s="6" t="n"/>
      <c r="F188" s="6" t="n"/>
      <c r="G188" s="14">
        <f>G186*0.12</f>
        <v/>
      </c>
      <c r="H188" s="14" t="n"/>
      <c r="I188" s="14">
        <f>G188</f>
        <v/>
      </c>
      <c r="J188" s="6" t="n"/>
    </row>
    <row r="189">
      <c r="A189" s="13" t="inlineStr">
        <is>
          <t>Сметная прибыль, 8% от (прямые + ТЗР + накладные)</t>
        </is>
      </c>
      <c r="B189" s="6" t="n"/>
      <c r="C189" s="6" t="n"/>
      <c r="D189" s="6" t="n"/>
      <c r="E189" s="6" t="n"/>
      <c r="F189" s="6" t="n"/>
      <c r="G189" s="14" t="n"/>
      <c r="H189" s="14" t="n"/>
      <c r="I189" s="14">
        <f>(I186+I187+I188)*0.08</f>
        <v/>
      </c>
      <c r="J189" s="6" t="n"/>
    </row>
    <row r="190">
      <c r="A190" s="15" t="inlineStr">
        <is>
          <t>ИТОГО без НДС</t>
        </is>
      </c>
      <c r="B190" s="6" t="n"/>
      <c r="C190" s="6" t="n"/>
      <c r="D190" s="6" t="n"/>
      <c r="E190" s="6" t="n"/>
      <c r="F190" s="6" t="n"/>
      <c r="G190" s="16" t="n"/>
      <c r="H190" s="16" t="n"/>
      <c r="I190" s="16">
        <f>I186+I187+I188+I189</f>
        <v/>
      </c>
      <c r="J190" s="6" t="n"/>
    </row>
    <row r="191">
      <c r="A191" s="13" t="inlineStr">
        <is>
          <t>НДС 22%</t>
        </is>
      </c>
      <c r="B191" s="6" t="n"/>
      <c r="C191" s="6" t="n"/>
      <c r="D191" s="6" t="n"/>
      <c r="E191" s="6" t="n"/>
      <c r="F191" s="6" t="n"/>
      <c r="G191" s="14" t="n"/>
      <c r="H191" s="14" t="n"/>
      <c r="I191" s="14">
        <f>I190*0.22</f>
        <v/>
      </c>
      <c r="J191" s="6" t="n"/>
    </row>
    <row r="192">
      <c r="A192" s="17" t="inlineStr">
        <is>
          <t>ВСЕГО с НДС 22%</t>
        </is>
      </c>
      <c r="B192" s="6" t="n"/>
      <c r="C192" s="6" t="n"/>
      <c r="D192" s="6" t="n"/>
      <c r="E192" s="6" t="n"/>
      <c r="F192" s="6" t="n"/>
      <c r="G192" s="18" t="n"/>
      <c r="H192" s="18" t="n"/>
      <c r="I192" s="18">
        <f>I190+I191</f>
        <v/>
      </c>
      <c r="J192" s="6" t="n"/>
    </row>
    <row r="194" ht="15" customHeight="1">
      <c r="A194" s="19" t="inlineStr">
        <is>
          <t>Примечания и допущения:</t>
        </is>
      </c>
    </row>
    <row r="195" ht="30" customHeight="1">
      <c r="A195" s="20" t="inlineStr">
        <is>
          <t>1. Цены — рыночный уровень г. Самара на октябрь 2026 г. Цвет/фактура плитки, краски, тип перегородок, дверей, светильников — по согласованию с Заказчиком (ТЗ); при выборе другой ценовой категории материалов итог изменится.</t>
        </is>
      </c>
    </row>
    <row r="196" ht="30" customHeight="1">
      <c r="A196" s="20" t="inlineStr">
        <is>
          <t>2. Двери ПВХ с сэндвич-панелями, доводчиками и откосами изготавливаются под заказ; размеры уточняются замером (ТЗ п.4.1.1.40, 4.2.1.24, 4.2.1.26).</t>
        </is>
      </c>
    </row>
    <row r="197" ht="30" customHeight="1">
      <c r="A197" s="20" t="inlineStr">
        <is>
          <t>3. Душевые перегородки (п.4.1.1.42) — ПВХ-профиль; в стоимость включены подставки 8 шт., зеркала 2 шт., вешалки 2 шт. по примечанию ТЗ.</t>
        </is>
      </c>
    </row>
    <row r="198" ht="30" customHeight="1">
      <c r="A198" s="20" t="inlineStr">
        <is>
          <t>4. В ТЗ п.4.2.2.11 дублирует п.4.2.2.6 (муфта 20×1/2" × 2 шт.) — включено как указано в ТЗ, рекомендуется уточнить у Заказчика. Пункт 4.1.3.11 в ТЗ отсутствует. Пункт «4.1.1.13» в разделе 4.2 — опечатка ТЗ, учтён как 4.2.1.13.</t>
        </is>
      </c>
    </row>
    <row r="199" ht="30" customHeight="1">
      <c r="A199" s="20" t="inlineStr">
        <is>
          <t>5. Включены обязательные по ТЗ затраты: ППР/ПОБ, исполнительная документация (2 экз.), электроизмерения, сортировка и сдача лома, вывоз и утилизация мусора, ежедневная уборка, СИЗ (разделы 5–6 ТЗ). Согласно п.5.7 неучтённые работы выполняются за счёт подрядчика.</t>
        </is>
      </c>
    </row>
    <row r="200" ht="30" customHeight="1">
      <c r="A200" s="20" t="inlineStr">
        <is>
          <t>6. Не включено: стоимость получения/наличия СРО (п.5.1), простои по вине Заказчика, работы вне перечня ТЗ.</t>
        </is>
      </c>
    </row>
    <row r="201" ht="30" customHeight="1">
      <c r="A201" s="20" t="inlineStr">
        <is>
          <t>7. Ставка НДС 22% применяется с 01.01.2026. Если подрядчик на УСН без НДС — к оплате «ИТОГО без НДС».</t>
        </is>
      </c>
    </row>
  </sheetData>
  <mergeCells count="36">
    <mergeCell ref="A194:J194"/>
    <mergeCell ref="A8:J8"/>
    <mergeCell ref="A135:J135"/>
    <mergeCell ref="A17:J17"/>
    <mergeCell ref="A189:F189"/>
    <mergeCell ref="A140:J140"/>
    <mergeCell ref="A200:J200"/>
    <mergeCell ref="A81:J81"/>
    <mergeCell ref="A156:J156"/>
    <mergeCell ref="A121:J121"/>
    <mergeCell ref="A192:F192"/>
    <mergeCell ref="A28:J28"/>
    <mergeCell ref="A199:J199"/>
    <mergeCell ref="A152:J152"/>
    <mergeCell ref="A170:J170"/>
    <mergeCell ref="A195:J195"/>
    <mergeCell ref="A102:J102"/>
    <mergeCell ref="A111:J111"/>
    <mergeCell ref="A188:F188"/>
    <mergeCell ref="A176:J176"/>
    <mergeCell ref="A39:J39"/>
    <mergeCell ref="A201:J201"/>
    <mergeCell ref="A60:J60"/>
    <mergeCell ref="A51:J51"/>
    <mergeCell ref="A190:F190"/>
    <mergeCell ref="A197:J197"/>
    <mergeCell ref="A110:J110"/>
    <mergeCell ref="A7:J7"/>
    <mergeCell ref="A196:J196"/>
    <mergeCell ref="A54:J54"/>
    <mergeCell ref="A186:F186"/>
    <mergeCell ref="A46:J46"/>
    <mergeCell ref="A191:F191"/>
    <mergeCell ref="A198:J198"/>
    <mergeCell ref="A187:F187"/>
    <mergeCell ref="A175:J17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8" customWidth="1" min="1" max="1"/>
    <col width="52" customWidth="1" min="2" max="2"/>
    <col width="16" customWidth="1" min="3" max="3"/>
    <col width="16" customWidth="1" min="4" max="4"/>
    <col width="16" customWidth="1" min="5" max="5"/>
  </cols>
  <sheetData>
    <row r="1">
      <c r="A1" s="21" t="inlineStr">
        <is>
          <t>Помещение</t>
        </is>
      </c>
      <c r="B1" s="21" t="inlineStr">
        <is>
          <t>Раздел</t>
        </is>
      </c>
      <c r="C1" s="21" t="inlineStr">
        <is>
          <t>Работа, ₽</t>
        </is>
      </c>
      <c r="D1" s="21" t="inlineStr">
        <is>
          <t>Материалы, ₽</t>
        </is>
      </c>
      <c r="E1" s="21" t="inlineStr">
        <is>
          <t>Всего, ₽</t>
        </is>
      </c>
    </row>
    <row r="2">
      <c r="A2" s="6" t="inlineStr">
        <is>
          <t>ПОМЕЩЕНИЕ № 1 (ДУШЕВАЯ), 24 м², h=2,9 м</t>
        </is>
      </c>
      <c r="B2" s="6" t="inlineStr">
        <is>
          <t>4.1.1. Общестроительные работы — Потолок</t>
        </is>
      </c>
      <c r="C2" s="22" t="n">
        <v>55167</v>
      </c>
      <c r="D2" s="22" t="n">
        <v>20646</v>
      </c>
      <c r="E2" s="22" t="n">
        <v>75813</v>
      </c>
    </row>
    <row r="3">
      <c r="A3" s="6" t="inlineStr">
        <is>
          <t>ПОМЕЩЕНИЕ № 1 (ДУШЕВАЯ), 24 м², h=2,9 м</t>
        </is>
      </c>
      <c r="B3" s="6" t="inlineStr">
        <is>
          <t>Ригель на потолке</t>
        </is>
      </c>
      <c r="C3" s="22" t="n">
        <v>24717.3</v>
      </c>
      <c r="D3" s="22" t="n">
        <v>7542.399999999999</v>
      </c>
      <c r="E3" s="22" t="n">
        <v>32259.7</v>
      </c>
    </row>
    <row r="4">
      <c r="A4" s="6" t="inlineStr">
        <is>
          <t>ПОМЕЩЕНИЕ № 1 (ДУШЕВАЯ), 24 м², h=2,9 м</t>
        </is>
      </c>
      <c r="B4" s="6" t="inlineStr">
        <is>
          <t>Стены</t>
        </is>
      </c>
      <c r="C4" s="22" t="n">
        <v>237130.75</v>
      </c>
      <c r="D4" s="22" t="n">
        <v>128618.5</v>
      </c>
      <c r="E4" s="22" t="n">
        <v>365749.25</v>
      </c>
    </row>
    <row r="5">
      <c r="A5" s="6" t="inlineStr">
        <is>
          <t>ПОМЕЩЕНИЕ № 1 (ДУШЕВАЯ), 24 м², h=2,9 м</t>
        </is>
      </c>
      <c r="B5" s="6" t="inlineStr">
        <is>
          <t>Полы</t>
        </is>
      </c>
      <c r="C5" s="22" t="n">
        <v>119920</v>
      </c>
      <c r="D5" s="22" t="n">
        <v>78800</v>
      </c>
      <c r="E5" s="22" t="n">
        <v>198720</v>
      </c>
    </row>
    <row r="6">
      <c r="A6" s="6" t="inlineStr">
        <is>
          <t>ПОМЕЩЕНИЕ № 1 (ДУШЕВАЯ), 24 м², h=2,9 м</t>
        </is>
      </c>
      <c r="B6" s="6" t="inlineStr">
        <is>
          <t>Прочее</t>
        </is>
      </c>
      <c r="C6" s="22" t="n">
        <v>28620</v>
      </c>
      <c r="D6" s="22" t="n">
        <v>49410</v>
      </c>
      <c r="E6" s="22" t="n">
        <v>78030</v>
      </c>
    </row>
    <row r="7">
      <c r="A7" s="6" t="inlineStr">
        <is>
          <t>ПОМЕЩЕНИЕ № 1 (ДУШЕВАЯ), 24 м², h=2,9 м</t>
        </is>
      </c>
      <c r="B7" s="6" t="inlineStr">
        <is>
          <t>Двери</t>
        </is>
      </c>
      <c r="C7" s="22" t="n">
        <v>12100</v>
      </c>
      <c r="D7" s="22" t="n">
        <v>39000</v>
      </c>
      <c r="E7" s="22" t="n">
        <v>51100</v>
      </c>
    </row>
    <row r="8">
      <c r="A8" s="6" t="inlineStr">
        <is>
          <t>ПОМЕЩЕНИЕ № 1 (ДУШЕВАЯ), 24 м², h=2,9 м</t>
        </is>
      </c>
      <c r="B8" s="6" t="inlineStr">
        <is>
          <t>Перегородки в душевой</t>
        </is>
      </c>
      <c r="C8" s="22" t="n">
        <v>63300</v>
      </c>
      <c r="D8" s="22" t="n">
        <v>144400</v>
      </c>
      <c r="E8" s="22" t="n">
        <v>207700</v>
      </c>
    </row>
    <row r="9">
      <c r="A9" s="6" t="inlineStr">
        <is>
          <t>ПОМЕЩЕНИЕ № 1 (ДУШЕВАЯ), 24 м², h=2,9 м</t>
        </is>
      </c>
      <c r="B9" s="6" t="inlineStr">
        <is>
          <t>4.1.2. Водоснабжение и канализация</t>
        </is>
      </c>
      <c r="C9" s="22" t="n">
        <v>124082</v>
      </c>
      <c r="D9" s="22" t="n">
        <v>97567</v>
      </c>
      <c r="E9" s="22" t="n">
        <v>221649</v>
      </c>
    </row>
    <row r="10">
      <c r="A10" s="6" t="inlineStr">
        <is>
          <t>ПОМЕЩЕНИЕ № 1 (ДУШЕВАЯ), 24 м², h=2,9 м</t>
        </is>
      </c>
      <c r="B10" s="6" t="inlineStr">
        <is>
          <t>4.1.3. Вентиляция</t>
        </is>
      </c>
      <c r="C10" s="22" t="n">
        <v>94197</v>
      </c>
      <c r="D10" s="22" t="n">
        <v>103468</v>
      </c>
      <c r="E10" s="22" t="n">
        <v>197665</v>
      </c>
    </row>
    <row r="11">
      <c r="A11" s="6" t="inlineStr">
        <is>
          <t>ПОМЕЩЕНИЕ № 1 (ДУШЕВАЯ), 24 м², h=2,9 м</t>
        </is>
      </c>
      <c r="B11" s="6" t="inlineStr">
        <is>
          <t>4.1.4. Электроснабжение</t>
        </is>
      </c>
      <c r="C11" s="22" t="n">
        <v>34800</v>
      </c>
      <c r="D11" s="22" t="n">
        <v>36200</v>
      </c>
      <c r="E11" s="22" t="n">
        <v>71000</v>
      </c>
    </row>
    <row r="12">
      <c r="A12" s="6" t="inlineStr">
        <is>
          <t>ПОМЕЩЕНИЕ № 2 (УМЫВАЛЬНИК), 24,6 м², h=2,9 м</t>
        </is>
      </c>
      <c r="B12" s="6" t="inlineStr">
        <is>
          <t>4.2.1. Общестроительные работы — Потолок</t>
        </is>
      </c>
      <c r="C12" s="22" t="n">
        <v>63337</v>
      </c>
      <c r="D12" s="22" t="n">
        <v>21928</v>
      </c>
      <c r="E12" s="22" t="n">
        <v>85265</v>
      </c>
    </row>
    <row r="13">
      <c r="A13" s="6" t="inlineStr">
        <is>
          <t>ПОМЕЩЕНИЕ № 2 (УМЫВАЛЬНИК), 24,6 м², h=2,9 м</t>
        </is>
      </c>
      <c r="B13" s="6" t="inlineStr">
        <is>
          <t>Стены</t>
        </is>
      </c>
      <c r="C13" s="22" t="n">
        <v>124710</v>
      </c>
      <c r="D13" s="22" t="n">
        <v>53422.5</v>
      </c>
      <c r="E13" s="22" t="n">
        <v>178132.5</v>
      </c>
    </row>
    <row r="14">
      <c r="A14" s="6" t="inlineStr">
        <is>
          <t>ПОМЕЩЕНИЕ № 2 (УМЫВАЛЬНИК), 24,6 м², h=2,9 м</t>
        </is>
      </c>
      <c r="B14" s="6" t="inlineStr">
        <is>
          <t>Двери</t>
        </is>
      </c>
      <c r="C14" s="22" t="n">
        <v>29800</v>
      </c>
      <c r="D14" s="22" t="n">
        <v>119000</v>
      </c>
      <c r="E14" s="22" t="n">
        <v>148800</v>
      </c>
    </row>
    <row r="15">
      <c r="A15" s="6" t="inlineStr">
        <is>
          <t>ПОМЕЩЕНИЕ № 2 (УМЫВАЛЬНИК), 24,6 м², h=2,9 м</t>
        </is>
      </c>
      <c r="B15" s="6" t="inlineStr">
        <is>
          <t>4.2.2. Водоснабжение и канализация</t>
        </is>
      </c>
      <c r="C15" s="22" t="n">
        <v>17474</v>
      </c>
      <c r="D15" s="22" t="n">
        <v>3360</v>
      </c>
      <c r="E15" s="22" t="n">
        <v>20834</v>
      </c>
    </row>
    <row r="16">
      <c r="A16" s="6" t="inlineStr">
        <is>
          <t>ПОМЕЩЕНИЕ № 2 (УМЫВАЛЬНИК), 24,6 м², h=2,9 м</t>
        </is>
      </c>
      <c r="B16" s="6" t="inlineStr">
        <is>
          <t>4.2.3. Прочее</t>
        </is>
      </c>
      <c r="C16" s="22" t="n">
        <v>8540</v>
      </c>
      <c r="D16" s="22" t="n">
        <v>1260</v>
      </c>
      <c r="E16" s="22" t="n">
        <v>9800</v>
      </c>
    </row>
    <row r="17">
      <c r="A17" s="6" t="inlineStr">
        <is>
          <t>ПОМЕЩЕНИЕ № 2 (УМЫВАЛЬНИК), 24,6 м², h=2,9 м</t>
        </is>
      </c>
      <c r="B17" s="6" t="inlineStr">
        <is>
          <t>4.2.4. Электроснабжение</t>
        </is>
      </c>
      <c r="C17" s="22" t="n">
        <v>33126</v>
      </c>
      <c r="D17" s="22" t="n">
        <v>21780</v>
      </c>
      <c r="E17" s="22" t="n">
        <v>54906</v>
      </c>
    </row>
    <row r="18">
      <c r="A18" s="6" t="inlineStr">
        <is>
          <t>ПОМЕЩЕНИЕ № 2 (УМЫВАЛЬНИК), 24,6 м², h=2,9 м</t>
        </is>
      </c>
      <c r="B18" s="6" t="inlineStr">
        <is>
          <t>4.2.5. АПС</t>
        </is>
      </c>
      <c r="C18" s="22" t="n">
        <v>9990</v>
      </c>
      <c r="D18" s="22" t="n">
        <v>1000</v>
      </c>
      <c r="E18" s="22" t="n">
        <v>10990</v>
      </c>
    </row>
    <row r="19">
      <c r="A19" s="6" t="inlineStr">
        <is>
          <t>ЗАТРАТЫ ПО ТРЕБОВАНИЯМ ТЗ (раздел 5–6)</t>
        </is>
      </c>
      <c r="B19" s="6" t="inlineStr">
        <is>
          <t>Сопутствующие работы, обязательные по ТЗ</t>
        </is>
      </c>
      <c r="C19" s="22" t="n">
        <v>109800</v>
      </c>
      <c r="D19" s="22" t="n">
        <v>38000</v>
      </c>
      <c r="E19" s="22" t="n">
        <v>147800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2026-10-26T08:11:21Z</dcterms:created>
  <dcterms:modified xmlns:dcterms="http://purl.org/dc/terms/" xmlns:xsi="http://www.w3.org/2001/XMLSchema-instance" xsi:type="dcterms:W3CDTF">2026-10-26T08:11:21Z</dcterms:modified>
</cp:coreProperties>
</file>